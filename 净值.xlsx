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C5B5CC8E-20CB-48F9-A8AE-3BD144D428DC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3" i="3" l="1"/>
  <c r="F263" i="3" s="1"/>
  <c r="B263" i="3" s="1"/>
  <c r="K263" i="3" s="1"/>
  <c r="H263" i="3"/>
  <c r="G888" i="2"/>
  <c r="F888" i="2" s="1"/>
  <c r="B888" i="2" s="1"/>
  <c r="K888" i="2" s="1"/>
  <c r="H888" i="2"/>
  <c r="G899" i="1"/>
  <c r="F899" i="1" s="1"/>
  <c r="B899" i="1" s="1"/>
  <c r="H899" i="1"/>
  <c r="G262" i="3"/>
  <c r="F262" i="3" s="1"/>
  <c r="B262" i="3" s="1"/>
  <c r="H262" i="3"/>
  <c r="F887" i="2"/>
  <c r="B887" i="2" s="1"/>
  <c r="G887" i="2"/>
  <c r="H887" i="2"/>
  <c r="G898" i="1"/>
  <c r="F898" i="1" s="1"/>
  <c r="B898" i="1" s="1"/>
  <c r="K898" i="1" s="1"/>
  <c r="H898" i="1"/>
  <c r="G261" i="3"/>
  <c r="F261" i="3" s="1"/>
  <c r="B261" i="3" s="1"/>
  <c r="H261" i="3"/>
  <c r="G886" i="2"/>
  <c r="F886" i="2" s="1"/>
  <c r="B886" i="2" s="1"/>
  <c r="H886" i="2"/>
  <c r="G897" i="1"/>
  <c r="F897" i="1" s="1"/>
  <c r="B897" i="1" s="1"/>
  <c r="K897" i="1" s="1"/>
  <c r="H897" i="1"/>
  <c r="F260" i="3"/>
  <c r="B260" i="3" s="1"/>
  <c r="G260" i="3"/>
  <c r="H260" i="3"/>
  <c r="G885" i="2"/>
  <c r="F885" i="2" s="1"/>
  <c r="B885" i="2" s="1"/>
  <c r="H885" i="2"/>
  <c r="G896" i="1"/>
  <c r="F896" i="1" s="1"/>
  <c r="B896" i="1" s="1"/>
  <c r="K896" i="1" s="1"/>
  <c r="H896" i="1"/>
  <c r="G259" i="3"/>
  <c r="F259" i="3" s="1"/>
  <c r="B259" i="3" s="1"/>
  <c r="H259" i="3"/>
  <c r="G884" i="2"/>
  <c r="F884" i="2" s="1"/>
  <c r="B884" i="2" s="1"/>
  <c r="H884" i="2"/>
  <c r="G895" i="1"/>
  <c r="F895" i="1" s="1"/>
  <c r="B895" i="1" s="1"/>
  <c r="H895" i="1"/>
  <c r="G258" i="3"/>
  <c r="F258" i="3" s="1"/>
  <c r="B258" i="3" s="1"/>
  <c r="H258" i="3"/>
  <c r="G883" i="2"/>
  <c r="F883" i="2" s="1"/>
  <c r="B883" i="2" s="1"/>
  <c r="H883" i="2"/>
  <c r="G894" i="1"/>
  <c r="F894" i="1" s="1"/>
  <c r="B894" i="1" s="1"/>
  <c r="K894" i="1" s="1"/>
  <c r="H894" i="1"/>
  <c r="G257" i="3"/>
  <c r="F257" i="3" s="1"/>
  <c r="B257" i="3" s="1"/>
  <c r="H257" i="3"/>
  <c r="G882" i="2"/>
  <c r="F882" i="2" s="1"/>
  <c r="B882" i="2" s="1"/>
  <c r="H882" i="2"/>
  <c r="G893" i="1"/>
  <c r="F893" i="1" s="1"/>
  <c r="B893" i="1" s="1"/>
  <c r="K893" i="1" s="1"/>
  <c r="H893" i="1"/>
  <c r="G256" i="3"/>
  <c r="F256" i="3" s="1"/>
  <c r="B256" i="3" s="1"/>
  <c r="H256" i="3"/>
  <c r="F881" i="2"/>
  <c r="B881" i="2" s="1"/>
  <c r="G881" i="2"/>
  <c r="H881" i="2"/>
  <c r="G892" i="1"/>
  <c r="F892" i="1" s="1"/>
  <c r="B892" i="1" s="1"/>
  <c r="H892" i="1"/>
  <c r="G255" i="3"/>
  <c r="F255" i="3" s="1"/>
  <c r="B255" i="3" s="1"/>
  <c r="H255" i="3"/>
  <c r="G880" i="2"/>
  <c r="F880" i="2" s="1"/>
  <c r="B880" i="2" s="1"/>
  <c r="H880" i="2"/>
  <c r="G891" i="1"/>
  <c r="F891" i="1" s="1"/>
  <c r="B891" i="1" s="1"/>
  <c r="H891" i="1"/>
  <c r="G890" i="1"/>
  <c r="F890" i="1" s="1"/>
  <c r="B890" i="1" s="1"/>
  <c r="H890" i="1"/>
  <c r="G879" i="2"/>
  <c r="F879" i="2" s="1"/>
  <c r="B879" i="2" s="1"/>
  <c r="H879" i="2"/>
  <c r="G254" i="3"/>
  <c r="F254" i="3" s="1"/>
  <c r="B254" i="3" s="1"/>
  <c r="H254" i="3"/>
  <c r="G253" i="3"/>
  <c r="F253" i="3" s="1"/>
  <c r="B253" i="3" s="1"/>
  <c r="H253" i="3"/>
  <c r="G878" i="2"/>
  <c r="F878" i="2" s="1"/>
  <c r="B878" i="2" s="1"/>
  <c r="H878" i="2"/>
  <c r="G889" i="1"/>
  <c r="F889" i="1" s="1"/>
  <c r="B889" i="1" s="1"/>
  <c r="K889" i="1" s="1"/>
  <c r="H889" i="1"/>
  <c r="G252" i="3"/>
  <c r="F252" i="3" s="1"/>
  <c r="B252" i="3" s="1"/>
  <c r="H252" i="3"/>
  <c r="G877" i="2"/>
  <c r="F877" i="2" s="1"/>
  <c r="B877" i="2" s="1"/>
  <c r="H877" i="2"/>
  <c r="G888" i="1"/>
  <c r="F888" i="1" s="1"/>
  <c r="B888" i="1" s="1"/>
  <c r="H888" i="1"/>
  <c r="G887" i="1"/>
  <c r="F887" i="1" s="1"/>
  <c r="B887" i="1" s="1"/>
  <c r="K887" i="1" s="1"/>
  <c r="H887" i="1"/>
  <c r="G876" i="2"/>
  <c r="F876" i="2" s="1"/>
  <c r="B876" i="2" s="1"/>
  <c r="H876" i="2"/>
  <c r="G251" i="3"/>
  <c r="F251" i="3" s="1"/>
  <c r="B251" i="3" s="1"/>
  <c r="H251" i="3"/>
  <c r="G250" i="3"/>
  <c r="F250" i="3" s="1"/>
  <c r="B250" i="3" s="1"/>
  <c r="H250" i="3"/>
  <c r="G875" i="2"/>
  <c r="F875" i="2" s="1"/>
  <c r="B875" i="2" s="1"/>
  <c r="H875" i="2"/>
  <c r="G886" i="1"/>
  <c r="F886" i="1" s="1"/>
  <c r="B886" i="1" s="1"/>
  <c r="H886" i="1"/>
  <c r="G249" i="3"/>
  <c r="F249" i="3" s="1"/>
  <c r="B249" i="3" s="1"/>
  <c r="H249" i="3"/>
  <c r="G874" i="2"/>
  <c r="F874" i="2" s="1"/>
  <c r="B874" i="2" s="1"/>
  <c r="K874" i="2" s="1"/>
  <c r="H874" i="2"/>
  <c r="F885" i="1"/>
  <c r="B885" i="1" s="1"/>
  <c r="G885" i="1"/>
  <c r="H885" i="1"/>
  <c r="G248" i="3"/>
  <c r="F248" i="3" s="1"/>
  <c r="B248" i="3" s="1"/>
  <c r="H248" i="3"/>
  <c r="G873" i="2"/>
  <c r="F873" i="2" s="1"/>
  <c r="B873" i="2" s="1"/>
  <c r="H873" i="2"/>
  <c r="G884" i="1"/>
  <c r="F884" i="1" s="1"/>
  <c r="B884" i="1" s="1"/>
  <c r="H884" i="1"/>
  <c r="G247" i="3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899" i="1" l="1"/>
  <c r="K262" i="3"/>
  <c r="K887" i="2"/>
  <c r="K261" i="3"/>
  <c r="K886" i="2"/>
  <c r="K260" i="3"/>
  <c r="K885" i="2"/>
  <c r="K259" i="3"/>
  <c r="K884" i="2"/>
  <c r="K895" i="1"/>
  <c r="K258" i="3"/>
  <c r="K883" i="2"/>
  <c r="K257" i="3"/>
  <c r="K882" i="2"/>
  <c r="K256" i="3"/>
  <c r="K881" i="2"/>
  <c r="K892" i="1"/>
  <c r="K255" i="3"/>
  <c r="K880" i="2"/>
  <c r="K891" i="1"/>
  <c r="K890" i="1"/>
  <c r="K879" i="2"/>
  <c r="K254" i="3"/>
  <c r="K253" i="3"/>
  <c r="K878" i="2"/>
  <c r="K252" i="3"/>
  <c r="K877" i="2"/>
  <c r="K888" i="1"/>
  <c r="K876" i="2"/>
  <c r="K251" i="3"/>
  <c r="K250" i="3"/>
  <c r="K875" i="2"/>
  <c r="K886" i="1"/>
  <c r="K249" i="3"/>
  <c r="K885" i="1"/>
  <c r="K884" i="1"/>
  <c r="K248" i="3"/>
  <c r="K873" i="2"/>
  <c r="K247" i="3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<sst xmlns="http://schemas.openxmlformats.org/spreadsheetml/2006/main" count="33" uniqueCount="11">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</sst>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  <c:pt idx="882">
                  <c:v>1.4972270982266451</c:v>
                </c:pt>
                <c:pt idx="883">
                  <c:v>1.5261162574227656</c:v>
                </c:pt>
                <c:pt idx="884">
                  <c:v>1.486932435066042</c:v>
                </c:pt>
                <c:pt idx="885">
                  <c:v>1.4907176312565609</c:v>
                </c:pt>
                <c:pt idx="886">
                  <c:v>1.5219055148055971</c:v>
                </c:pt>
                <c:pt idx="887">
                  <c:v>1.517421192531337</c:v>
                </c:pt>
                <c:pt idx="888">
                  <c:v>1.5514409866990515</c:v>
                </c:pt>
                <c:pt idx="889">
                  <c:v>1.5517303156395341</c:v>
                </c:pt>
                <c:pt idx="890">
                  <c:v>1.5547424548997189</c:v>
                </c:pt>
                <c:pt idx="891">
                  <c:v>1.5491619588183456</c:v>
                </c:pt>
                <c:pt idx="892">
                  <c:v>1.5483436276322502</c:v>
                </c:pt>
                <c:pt idx="893">
                  <c:v>1.5502537512458687</c:v>
                </c:pt>
                <c:pt idx="894">
                  <c:v>1.5584810347902771</c:v>
                </c:pt>
                <c:pt idx="895">
                  <c:v>1.5739870134619489</c:v>
                </c:pt>
                <c:pt idx="896">
                  <c:v>1.5830583638635574</c:v>
                </c:pt>
                <c:pt idx="897">
                  <c:v>1.6076559025435941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  <c:pt idx="882">
                  <c:v>0.93692195230477482</c:v>
                </c:pt>
                <c:pt idx="883">
                  <c:v>0.9449523789344324</c:v>
                </c:pt>
                <c:pt idx="884">
                  <c:v>0.92824262906421162</c:v>
                </c:pt>
                <c:pt idx="885">
                  <c:v>0.92811814685722149</c:v>
                </c:pt>
                <c:pt idx="886">
                  <c:v>0.93999427911559363</c:v>
                </c:pt>
                <c:pt idx="887">
                  <c:v>0.92993770592535308</c:v>
                </c:pt>
                <c:pt idx="888">
                  <c:v>0.94548209045353904</c:v>
                </c:pt>
                <c:pt idx="889">
                  <c:v>0.93802904937970777</c:v>
                </c:pt>
                <c:pt idx="890">
                  <c:v>0.9351792014069138</c:v>
                </c:pt>
                <c:pt idx="891">
                  <c:v>0.9286425612611372</c:v>
                </c:pt>
                <c:pt idx="892">
                  <c:v>0.93272133995825879</c:v>
                </c:pt>
                <c:pt idx="893">
                  <c:v>0.93501499083599082</c:v>
                </c:pt>
                <c:pt idx="894">
                  <c:v>0.94931455329427594</c:v>
                </c:pt>
                <c:pt idx="895">
                  <c:v>0.95981343560297061</c:v>
                </c:pt>
                <c:pt idx="896">
                  <c:v>0.9546434511764893</c:v>
                </c:pt>
                <c:pt idx="897">
                  <c:v>0.9688105857549979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  <c:pt idx="871">
                  <c:v>1.4750225619206769</c:v>
                </c:pt>
                <c:pt idx="872">
                  <c:v>1.5004630550553577</c:v>
                </c:pt>
                <c:pt idx="873">
                  <c:v>1.4603530723879055</c:v>
                </c:pt>
                <c:pt idx="874">
                  <c:v>1.4618259076367819</c:v>
                </c:pt>
                <c:pt idx="875">
                  <c:v>1.489721654933589</c:v>
                </c:pt>
                <c:pt idx="876">
                  <c:v>1.4828649232371029</c:v>
                </c:pt>
                <c:pt idx="877">
                  <c:v>1.512512244813031</c:v>
                </c:pt>
                <c:pt idx="878">
                  <c:v>1.5077609722515493</c:v>
                </c:pt>
                <c:pt idx="879">
                  <c:v>1.5114578907808347</c:v>
                </c:pt>
                <c:pt idx="880">
                  <c:v>1.5042408337037356</c:v>
                </c:pt>
                <c:pt idx="881">
                  <c:v>1.5041877232638969</c:v>
                </c:pt>
                <c:pt idx="882">
                  <c:v>1.5044367823686038</c:v>
                </c:pt>
                <c:pt idx="883">
                  <c:v>1.5180987980091301</c:v>
                </c:pt>
                <c:pt idx="884">
                  <c:v>1.5344788679766708</c:v>
                </c:pt>
                <c:pt idx="885">
                  <c:v>1.5407806060880818</c:v>
                </c:pt>
                <c:pt idx="886">
                  <c:v>1.5650649390325877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  <c:pt idx="871">
                  <c:v>0.93692195230477482</c:v>
                </c:pt>
                <c:pt idx="872">
                  <c:v>0.9449523789344324</c:v>
                </c:pt>
                <c:pt idx="873">
                  <c:v>0.92824262906421162</c:v>
                </c:pt>
                <c:pt idx="874">
                  <c:v>0.92811814685722149</c:v>
                </c:pt>
                <c:pt idx="875">
                  <c:v>0.93999427911559363</c:v>
                </c:pt>
                <c:pt idx="876">
                  <c:v>0.92993770592535308</c:v>
                </c:pt>
                <c:pt idx="877">
                  <c:v>0.94548209045353904</c:v>
                </c:pt>
                <c:pt idx="878">
                  <c:v>0.93802904937970777</c:v>
                </c:pt>
                <c:pt idx="879">
                  <c:v>0.9351792014069138</c:v>
                </c:pt>
                <c:pt idx="880">
                  <c:v>0.9286425612611372</c:v>
                </c:pt>
                <c:pt idx="881">
                  <c:v>0.93272133995825879</c:v>
                </c:pt>
                <c:pt idx="882">
                  <c:v>0.93501499083599082</c:v>
                </c:pt>
                <c:pt idx="883">
                  <c:v>0.94931455329427594</c:v>
                </c:pt>
                <c:pt idx="884">
                  <c:v>0.95981343560297061</c:v>
                </c:pt>
                <c:pt idx="885">
                  <c:v>0.9546434511764893</c:v>
                </c:pt>
                <c:pt idx="886">
                  <c:v>0.9688105857549979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  <c:pt idx="246">
                  <c:v>0.81280157826657695</c:v>
                </c:pt>
                <c:pt idx="247">
                  <c:v>0.81328792332460198</c:v>
                </c:pt>
                <c:pt idx="248">
                  <c:v>0.7864120060143035</c:v>
                </c:pt>
                <c:pt idx="249">
                  <c:v>0.78148126240715599</c:v>
                </c:pt>
                <c:pt idx="250">
                  <c:v>0.78339911367370785</c:v>
                </c:pt>
                <c:pt idx="251">
                  <c:v>0.78108056301972661</c:v>
                </c:pt>
                <c:pt idx="252">
                  <c:v>0.80246598109005629</c:v>
                </c:pt>
                <c:pt idx="253">
                  <c:v>0.7926396697761845</c:v>
                </c:pt>
                <c:pt idx="254">
                  <c:v>0.79270390402913127</c:v>
                </c:pt>
                <c:pt idx="255">
                  <c:v>0.79204015008201523</c:v>
                </c:pt>
                <c:pt idx="256">
                  <c:v>0.78717669950176439</c:v>
                </c:pt>
                <c:pt idx="257">
                  <c:v>0.78838491521195253</c:v>
                </c:pt>
                <c:pt idx="258">
                  <c:v>0.79992413993773648</c:v>
                </c:pt>
                <c:pt idx="259">
                  <c:v>0.8198551109949157</c:v>
                </c:pt>
                <c:pt idx="260">
                  <c:v>0.82113520789292516</c:v>
                </c:pt>
                <c:pt idx="261">
                  <c:v>0.83136221859422632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  <c:pt idx="246">
                  <c:v>0.91810103191246395</c:v>
                </c:pt>
                <c:pt idx="247">
                  <c:v>0.92597014305587277</c:v>
                </c:pt>
                <c:pt idx="248">
                  <c:v>0.9095960592155804</c:v>
                </c:pt>
                <c:pt idx="249">
                  <c:v>0.90947407761144439</c:v>
                </c:pt>
                <c:pt idx="250">
                  <c:v>0.92111164171667048</c:v>
                </c:pt>
                <c:pt idx="251">
                  <c:v>0.91125708531445304</c:v>
                </c:pt>
                <c:pt idx="252">
                  <c:v>0.92648921371177051</c:v>
                </c:pt>
                <c:pt idx="253">
                  <c:v>0.91918588958329006</c:v>
                </c:pt>
                <c:pt idx="254">
                  <c:v>0.91639328945456056</c:v>
                </c:pt>
                <c:pt idx="255">
                  <c:v>0.9099879575607831</c:v>
                </c:pt>
                <c:pt idx="256">
                  <c:v>0.91398480161119533</c:v>
                </c:pt>
                <c:pt idx="257">
                  <c:v>0.91623237755123232</c:v>
                </c:pt>
                <c:pt idx="258">
                  <c:v>0.93024468990719023</c:v>
                </c:pt>
                <c:pt idx="259">
                  <c:v>0.94053267030708221</c:v>
                </c:pt>
                <c:pt idx="260">
                  <c:v>0.93546654070552082</c:v>
                </c:pt>
                <c:pt idx="261">
                  <c:v>0.9493490853975044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238</xdr:row>
      <xdr:rowOff>111125</xdr:rowOff>
    </xdr:from>
    <xdr:to>
      <xdr:col>19</xdr:col>
      <xdr:colOff>657225</xdr:colOff>
      <xdr:row>259</xdr:row>
      <xdr:rowOff>95250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9"/>
  <sheetViews>
    <sheetView tabSelected="1" workbookViewId="0">
      <pane ySplit="1" topLeftCell="A876" activePane="bottomLeft" state="frozen"/>
      <selection pane="bottomLeft" activeCell="J889" sqref="J889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:F883" si="710">F877+G878</f>
        <v>253344.86027488438</v>
      </c>
      <c r="G878" s="3">
        <f t="shared" ref="G878:G883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  <row r="879" spans="1:11" x14ac:dyDescent="0.2">
      <c r="A879" s="21">
        <v>45372</v>
      </c>
      <c r="B879" s="14">
        <f t="shared" ref="B879" si="714">E879/F879</f>
        <v>1.5212744382571071</v>
      </c>
      <c r="C879" s="3">
        <v>0</v>
      </c>
      <c r="D879" s="3">
        <v>0</v>
      </c>
      <c r="E879" s="3">
        <v>385407.06</v>
      </c>
      <c r="F879" s="3">
        <f t="shared" si="710"/>
        <v>253344.86027488438</v>
      </c>
      <c r="G879" s="3">
        <f t="shared" si="711"/>
        <v>0</v>
      </c>
      <c r="H879" s="5">
        <f t="shared" ref="H879" si="715">I879/J879</f>
        <v>0.94847231197889637</v>
      </c>
      <c r="I879" s="4">
        <v>3581.09</v>
      </c>
      <c r="J879" s="4">
        <v>3775.64</v>
      </c>
      <c r="K879" s="6">
        <f t="shared" ref="K879" si="716">(B879-H879)</f>
        <v>0.5728021262782107</v>
      </c>
    </row>
    <row r="880" spans="1:11" x14ac:dyDescent="0.2">
      <c r="A880" s="21">
        <v>45373</v>
      </c>
      <c r="B880" s="14">
        <f t="shared" ref="B880" si="717">E880/F880</f>
        <v>1.5021593474881623</v>
      </c>
      <c r="C880" s="3">
        <v>0</v>
      </c>
      <c r="D880" s="3">
        <v>0</v>
      </c>
      <c r="E880" s="3">
        <v>380564.35</v>
      </c>
      <c r="F880" s="3">
        <f t="shared" si="710"/>
        <v>253344.86027488438</v>
      </c>
      <c r="G880" s="3">
        <f t="shared" si="711"/>
        <v>0</v>
      </c>
      <c r="H880" s="5">
        <f t="shared" ref="H880" si="718">I880/J880</f>
        <v>0.93891366761661599</v>
      </c>
      <c r="I880" s="4">
        <v>3545</v>
      </c>
      <c r="J880" s="4">
        <v>3775.64</v>
      </c>
      <c r="K880" s="6">
        <f t="shared" ref="K880" si="719">(B880-H880)</f>
        <v>0.56324567987154628</v>
      </c>
    </row>
    <row r="881" spans="1:11" x14ac:dyDescent="0.2">
      <c r="A881" s="21">
        <v>45376</v>
      </c>
      <c r="B881" s="14">
        <f t="shared" ref="B881" si="720">E881/F881</f>
        <v>1.4914481769633068</v>
      </c>
      <c r="C881" s="3">
        <v>0</v>
      </c>
      <c r="D881" s="3">
        <v>0</v>
      </c>
      <c r="E881" s="3">
        <v>377850.73</v>
      </c>
      <c r="F881" s="3">
        <f t="shared" si="710"/>
        <v>253344.86027488438</v>
      </c>
      <c r="G881" s="3">
        <f t="shared" si="711"/>
        <v>0</v>
      </c>
      <c r="H881" s="5">
        <f t="shared" ref="H881" si="721">I881/J881</f>
        <v>0.93381784280280966</v>
      </c>
      <c r="I881" s="4">
        <v>3525.76</v>
      </c>
      <c r="J881" s="4">
        <v>3775.64</v>
      </c>
      <c r="K881" s="6">
        <f t="shared" ref="K881" si="722">(B881-H881)</f>
        <v>0.55763033416049712</v>
      </c>
    </row>
    <row r="882" spans="1:11" x14ac:dyDescent="0.2">
      <c r="A882" s="21">
        <v>45377</v>
      </c>
      <c r="B882" s="14">
        <f t="shared" ref="B882" si="723">E882/F882</f>
        <v>1.5022166606698242</v>
      </c>
      <c r="C882" s="3">
        <v>0</v>
      </c>
      <c r="D882" s="3">
        <v>0</v>
      </c>
      <c r="E882" s="3">
        <v>380578.87</v>
      </c>
      <c r="F882" s="3">
        <f t="shared" si="710"/>
        <v>253344.86027488438</v>
      </c>
      <c r="G882" s="3">
        <f t="shared" si="711"/>
        <v>0</v>
      </c>
      <c r="H882" s="5">
        <f t="shared" ref="H882" si="724">I882/J882</f>
        <v>0.93858259791717435</v>
      </c>
      <c r="I882" s="4">
        <v>3543.75</v>
      </c>
      <c r="J882" s="4">
        <v>3775.64</v>
      </c>
      <c r="K882" s="6">
        <f t="shared" ref="K882" si="725">(B882-H882)</f>
        <v>0.56363406275264982</v>
      </c>
    </row>
    <row r="883" spans="1:11" x14ac:dyDescent="0.2">
      <c r="A883" s="21">
        <v>45378</v>
      </c>
      <c r="B883" s="14">
        <f t="shared" ref="B883" si="726">E883/F883</f>
        <v>1.483488394405208</v>
      </c>
      <c r="C883" s="3">
        <v>0</v>
      </c>
      <c r="D883" s="3">
        <v>0</v>
      </c>
      <c r="E883" s="3">
        <v>375834.16</v>
      </c>
      <c r="F883" s="3">
        <f t="shared" si="710"/>
        <v>253344.86027488438</v>
      </c>
      <c r="G883" s="3">
        <f t="shared" si="711"/>
        <v>0</v>
      </c>
      <c r="H883" s="5">
        <f t="shared" ref="H883" si="727">I883/J883</f>
        <v>0.92773410600586925</v>
      </c>
      <c r="I883" s="4">
        <v>3502.79</v>
      </c>
      <c r="J883" s="4">
        <v>3775.64</v>
      </c>
      <c r="K883" s="6">
        <f t="shared" ref="K883" si="728">(B883-H883)</f>
        <v>0.55575428839933871</v>
      </c>
    </row>
    <row r="884" spans="1:11" x14ac:dyDescent="0.2">
      <c r="A884" s="21">
        <v>45380</v>
      </c>
      <c r="B884" s="14">
        <f t="shared" ref="B884" si="729">E884/F884</f>
        <v>1.4972270982266451</v>
      </c>
      <c r="C884" s="3">
        <v>0</v>
      </c>
      <c r="D884" s="3">
        <v>0</v>
      </c>
      <c r="E884" s="3">
        <v>379314.79</v>
      </c>
      <c r="F884" s="3">
        <f t="shared" ref="F884" si="730">F883+G884</f>
        <v>253344.86027488438</v>
      </c>
      <c r="G884" s="3">
        <f t="shared" ref="G884" si="731">(C884-D884)/((E884-C884+D884)/F883)</f>
        <v>0</v>
      </c>
      <c r="H884" s="5">
        <f t="shared" ref="H884" si="732">I884/J884</f>
        <v>0.93692195230477482</v>
      </c>
      <c r="I884" s="4">
        <v>3537.48</v>
      </c>
      <c r="J884" s="4">
        <v>3775.64</v>
      </c>
      <c r="K884" s="6">
        <f t="shared" ref="K884" si="733">(B884-H884)</f>
        <v>0.56030514592187031</v>
      </c>
    </row>
    <row r="885" spans="1:11" x14ac:dyDescent="0.2">
      <c r="A885" s="21">
        <v>45385</v>
      </c>
      <c r="B885" s="14">
        <f t="shared" ref="B885" si="734">E885/F885</f>
        <v>1.5261162574227656</v>
      </c>
      <c r="C885" s="3">
        <v>0</v>
      </c>
      <c r="D885" s="3">
        <v>0</v>
      </c>
      <c r="E885" s="3">
        <v>386633.71</v>
      </c>
      <c r="F885" s="3">
        <f t="shared" ref="F885" si="735">F884+G885</f>
        <v>253344.86027488438</v>
      </c>
      <c r="G885" s="3">
        <f t="shared" ref="G885" si="736">(C885-D885)/((E885-C885+D885)/F884)</f>
        <v>0</v>
      </c>
      <c r="H885" s="5">
        <f t="shared" ref="H885" si="737">I885/J885</f>
        <v>0.9449523789344324</v>
      </c>
      <c r="I885" s="4">
        <v>3567.8</v>
      </c>
      <c r="J885" s="4">
        <v>3775.64</v>
      </c>
      <c r="K885" s="6">
        <f t="shared" ref="K885" si="738">(B885-H885)</f>
        <v>0.58116387848833317</v>
      </c>
    </row>
    <row r="886" spans="1:11" x14ac:dyDescent="0.2">
      <c r="A886" s="21">
        <v>45392</v>
      </c>
      <c r="B886" s="14">
        <f t="shared" ref="B886" si="739">E886/F886</f>
        <v>1.486932435066042</v>
      </c>
      <c r="C886" s="3">
        <v>0</v>
      </c>
      <c r="D886" s="3">
        <v>0</v>
      </c>
      <c r="E886" s="3">
        <v>376706.69</v>
      </c>
      <c r="F886" s="3">
        <f t="shared" ref="F886" si="740">F885+G886</f>
        <v>253344.86027488438</v>
      </c>
      <c r="G886" s="3">
        <f t="shared" ref="G886" si="741">(C886-D886)/((E886-C886+D886)/F885)</f>
        <v>0</v>
      </c>
      <c r="H886" s="5">
        <f t="shared" ref="H886" si="742">I886/J886</f>
        <v>0.92824262906421162</v>
      </c>
      <c r="I886" s="4">
        <v>3504.71</v>
      </c>
      <c r="J886" s="4">
        <v>3775.64</v>
      </c>
      <c r="K886" s="6">
        <f t="shared" ref="K886" si="743">(B886-H886)</f>
        <v>0.55868980600183038</v>
      </c>
    </row>
    <row r="887" spans="1:11" x14ac:dyDescent="0.2">
      <c r="A887" s="21">
        <v>45393</v>
      </c>
      <c r="B887" s="14">
        <f t="shared" ref="B887" si="744">E887/F887</f>
        <v>1.4907176312565609</v>
      </c>
      <c r="C887" s="3">
        <v>0</v>
      </c>
      <c r="D887" s="3">
        <v>0</v>
      </c>
      <c r="E887" s="3">
        <v>377665.65</v>
      </c>
      <c r="F887" s="3">
        <f t="shared" ref="F887" si="745">F886+G887</f>
        <v>253344.86027488438</v>
      </c>
      <c r="G887" s="3">
        <f t="shared" ref="G887" si="746">(C887-D887)/((E887-C887+D887)/F886)</f>
        <v>0</v>
      </c>
      <c r="H887" s="5">
        <f t="shared" ref="H887" si="747">I887/J887</f>
        <v>0.92811814685722149</v>
      </c>
      <c r="I887" s="4">
        <v>3504.24</v>
      </c>
      <c r="J887" s="4">
        <v>3775.64</v>
      </c>
      <c r="K887" s="6">
        <f t="shared" ref="K887" si="748">(B887-H887)</f>
        <v>0.56259948439933938</v>
      </c>
    </row>
    <row r="888" spans="1:11" x14ac:dyDescent="0.2">
      <c r="A888" s="21">
        <v>45397</v>
      </c>
      <c r="B888" s="14">
        <f t="shared" ref="B888" si="749">E888/F888</f>
        <v>1.5219055148055971</v>
      </c>
      <c r="C888" s="3">
        <v>0</v>
      </c>
      <c r="D888" s="3">
        <v>0</v>
      </c>
      <c r="E888" s="3">
        <v>385566.94</v>
      </c>
      <c r="F888" s="3">
        <f t="shared" ref="F888" si="750">F887+G888</f>
        <v>253344.86027488438</v>
      </c>
      <c r="G888" s="3">
        <f t="shared" ref="G888" si="751">(C888-D888)/((E888-C888+D888)/F887)</f>
        <v>0</v>
      </c>
      <c r="H888" s="5">
        <f t="shared" ref="H888" si="752">I888/J888</f>
        <v>0.93999427911559363</v>
      </c>
      <c r="I888" s="4">
        <v>3549.08</v>
      </c>
      <c r="J888" s="4">
        <v>3775.64</v>
      </c>
      <c r="K888" s="6">
        <f t="shared" ref="K888" si="753">(B888-H888)</f>
        <v>0.58191123569000347</v>
      </c>
    </row>
    <row r="889" spans="1:11" x14ac:dyDescent="0.2">
      <c r="A889" s="21">
        <v>45398</v>
      </c>
      <c r="B889" s="14">
        <f t="shared" ref="B889" si="754">E889/F889</f>
        <v>1.517421192531337</v>
      </c>
      <c r="C889" s="3">
        <v>0</v>
      </c>
      <c r="D889" s="3">
        <v>0</v>
      </c>
      <c r="E889" s="3">
        <v>384430.86</v>
      </c>
      <c r="F889" s="3">
        <f t="shared" ref="F889" si="755">F888+G889</f>
        <v>253344.86027488438</v>
      </c>
      <c r="G889" s="3">
        <f t="shared" ref="G889" si="756">(C889-D889)/((E889-C889+D889)/F888)</f>
        <v>0</v>
      </c>
      <c r="H889" s="5">
        <f t="shared" ref="H889" si="757">I889/J889</f>
        <v>0.92993770592535308</v>
      </c>
      <c r="I889" s="4">
        <v>3511.11</v>
      </c>
      <c r="J889" s="4">
        <v>3775.64</v>
      </c>
      <c r="K889" s="6">
        <f t="shared" ref="K889" si="758">(B889-H889)</f>
        <v>0.58748348660598393</v>
      </c>
    </row>
    <row r="890" spans="1:11" x14ac:dyDescent="0.2">
      <c r="A890" s="21">
        <v>45400</v>
      </c>
      <c r="B890" s="14">
        <f t="shared" ref="B890" si="759">E890/F890</f>
        <v>1.5514409866990515</v>
      </c>
      <c r="C890" s="3">
        <v>0</v>
      </c>
      <c r="D890" s="3">
        <v>0</v>
      </c>
      <c r="E890" s="3">
        <v>393049.59999999998</v>
      </c>
      <c r="F890" s="3">
        <f t="shared" ref="F890" si="760">F889+G890</f>
        <v>253344.86027488438</v>
      </c>
      <c r="G890" s="3">
        <f t="shared" ref="G890" si="761">(C890-D890)/((E890-C890+D890)/F889)</f>
        <v>0</v>
      </c>
      <c r="H890" s="5">
        <f t="shared" ref="H890" si="762">I890/J890</f>
        <v>0.94548209045353904</v>
      </c>
      <c r="I890" s="4">
        <v>3569.8</v>
      </c>
      <c r="J890" s="4">
        <v>3775.64</v>
      </c>
      <c r="K890" s="6">
        <f t="shared" ref="K890" si="763">(B890-H890)</f>
        <v>0.60595889624551247</v>
      </c>
    </row>
    <row r="891" spans="1:11" x14ac:dyDescent="0.2">
      <c r="A891" s="21">
        <v>45401</v>
      </c>
      <c r="B891" s="14">
        <f t="shared" ref="B891" si="764">E891/F891</f>
        <v>1.5517303156395341</v>
      </c>
      <c r="C891" s="3">
        <v>0</v>
      </c>
      <c r="D891" s="3">
        <v>0</v>
      </c>
      <c r="E891" s="3">
        <v>393122.9</v>
      </c>
      <c r="F891" s="3">
        <f t="shared" ref="F891" si="765">F890+G891</f>
        <v>253344.86027488438</v>
      </c>
      <c r="G891" s="3">
        <f t="shared" ref="G891" si="766">(C891-D891)/((E891-C891+D891)/F890)</f>
        <v>0</v>
      </c>
      <c r="H891" s="5">
        <f t="shared" ref="H891" si="767">I891/J891</f>
        <v>0.93802904937970777</v>
      </c>
      <c r="I891" s="4">
        <v>3541.66</v>
      </c>
      <c r="J891" s="4">
        <v>3775.64</v>
      </c>
      <c r="K891" s="6">
        <f t="shared" ref="K891" si="768">(B891-H891)</f>
        <v>0.61370126625982635</v>
      </c>
    </row>
    <row r="892" spans="1:11" x14ac:dyDescent="0.2">
      <c r="A892" s="21">
        <v>45404</v>
      </c>
      <c r="B892" s="14">
        <f t="shared" ref="B892" si="769">E892/F892</f>
        <v>1.5547424548997189</v>
      </c>
      <c r="C892" s="3">
        <v>0</v>
      </c>
      <c r="D892" s="3">
        <v>0</v>
      </c>
      <c r="E892" s="3">
        <v>393886.01</v>
      </c>
      <c r="F892" s="3">
        <f t="shared" ref="F892" si="770">F891+G892</f>
        <v>253344.86027488438</v>
      </c>
      <c r="G892" s="3">
        <f t="shared" ref="G892" si="771">(C892-D892)/((E892-C892+D892)/F891)</f>
        <v>0</v>
      </c>
      <c r="H892" s="5">
        <f t="shared" ref="H892" si="772">I892/J892</f>
        <v>0.9351792014069138</v>
      </c>
      <c r="I892" s="4">
        <v>3530.9</v>
      </c>
      <c r="J892" s="4">
        <v>3775.64</v>
      </c>
      <c r="K892" s="6">
        <f t="shared" ref="K892" si="773">(B892-H892)</f>
        <v>0.61956325349280505</v>
      </c>
    </row>
    <row r="893" spans="1:11" x14ac:dyDescent="0.2">
      <c r="A893" s="21">
        <v>45405</v>
      </c>
      <c r="B893" s="14">
        <f t="shared" ref="B893" si="774">E893/F893</f>
        <v>1.5491619588183456</v>
      </c>
      <c r="C893" s="3">
        <v>0</v>
      </c>
      <c r="D893" s="3">
        <v>0</v>
      </c>
      <c r="E893" s="3">
        <v>392472.22</v>
      </c>
      <c r="F893" s="3">
        <f t="shared" ref="F893" si="775">F892+G893</f>
        <v>253344.86027488438</v>
      </c>
      <c r="G893" s="3">
        <f t="shared" ref="G893" si="776">(C893-D893)/((E893-C893+D893)/F892)</f>
        <v>0</v>
      </c>
      <c r="H893" s="5">
        <f t="shared" ref="H893" si="777">I893/J893</f>
        <v>0.9286425612611372</v>
      </c>
      <c r="I893" s="4">
        <v>3506.22</v>
      </c>
      <c r="J893" s="4">
        <v>3775.64</v>
      </c>
      <c r="K893" s="6">
        <f t="shared" ref="K893" si="778">(B893-H893)</f>
        <v>0.62051939755720842</v>
      </c>
    </row>
    <row r="894" spans="1:11" x14ac:dyDescent="0.2">
      <c r="A894" s="21">
        <v>45406</v>
      </c>
      <c r="B894" s="14">
        <f t="shared" ref="B894" si="779">E894/F894</f>
        <v>1.5483436276322502</v>
      </c>
      <c r="C894" s="3">
        <v>0</v>
      </c>
      <c r="D894" s="3">
        <v>0</v>
      </c>
      <c r="E894" s="3">
        <v>392264.9</v>
      </c>
      <c r="F894" s="3">
        <f t="shared" ref="F894" si="780">F893+G894</f>
        <v>253344.86027488438</v>
      </c>
      <c r="G894" s="3">
        <f t="shared" ref="G894" si="781">(C894-D894)/((E894-C894+D894)/F893)</f>
        <v>0</v>
      </c>
      <c r="H894" s="5">
        <f t="shared" ref="H894" si="782">I894/J894</f>
        <v>0.93272133995825879</v>
      </c>
      <c r="I894" s="4">
        <v>3521.62</v>
      </c>
      <c r="J894" s="4">
        <v>3775.64</v>
      </c>
      <c r="K894" s="6">
        <f t="shared" ref="K894" si="783">(B894-H894)</f>
        <v>0.61562228767399141</v>
      </c>
    </row>
    <row r="895" spans="1:11" x14ac:dyDescent="0.2">
      <c r="A895" s="21">
        <v>45407</v>
      </c>
      <c r="B895" s="14">
        <f t="shared" ref="B895" si="784">E895/F895</f>
        <v>1.5502537512458687</v>
      </c>
      <c r="C895" s="3">
        <v>0</v>
      </c>
      <c r="D895" s="3">
        <v>0</v>
      </c>
      <c r="E895" s="3">
        <v>392748.82</v>
      </c>
      <c r="F895" s="3">
        <f t="shared" ref="F895" si="785">F894+G895</f>
        <v>253344.86027488438</v>
      </c>
      <c r="G895" s="3">
        <f t="shared" ref="G895" si="786">(C895-D895)/((E895-C895+D895)/F894)</f>
        <v>0</v>
      </c>
      <c r="H895" s="5">
        <f t="shared" ref="H895" si="787">I895/J895</f>
        <v>0.93501499083599082</v>
      </c>
      <c r="I895" s="4">
        <v>3530.28</v>
      </c>
      <c r="J895" s="4">
        <v>3775.64</v>
      </c>
      <c r="K895" s="6">
        <f t="shared" ref="K895" si="788">(B895-H895)</f>
        <v>0.61523876040987791</v>
      </c>
    </row>
    <row r="896" spans="1:11" x14ac:dyDescent="0.2">
      <c r="A896" s="21">
        <v>45408</v>
      </c>
      <c r="B896" s="14">
        <f t="shared" ref="B896" si="789">E896/F896</f>
        <v>1.5584810347902771</v>
      </c>
      <c r="C896" s="3">
        <v>0</v>
      </c>
      <c r="D896" s="3">
        <v>0</v>
      </c>
      <c r="E896" s="3">
        <v>394833.16</v>
      </c>
      <c r="F896" s="3">
        <f t="shared" ref="F896" si="790">F895+G896</f>
        <v>253344.86027488438</v>
      </c>
      <c r="G896" s="3">
        <f t="shared" ref="G896" si="791">(C896-D896)/((E896-C896+D896)/F895)</f>
        <v>0</v>
      </c>
      <c r="H896" s="5">
        <f t="shared" ref="H896" si="792">I896/J896</f>
        <v>0.94931455329427594</v>
      </c>
      <c r="I896" s="4">
        <v>3584.27</v>
      </c>
      <c r="J896" s="4">
        <v>3775.64</v>
      </c>
      <c r="K896" s="6">
        <f t="shared" ref="K896" si="793">(B896-H896)</f>
        <v>0.60916648149600117</v>
      </c>
    </row>
    <row r="897" spans="1:11" x14ac:dyDescent="0.2">
      <c r="A897" s="21">
        <v>45411</v>
      </c>
      <c r="B897" s="14">
        <f t="shared" ref="B897" si="794">E897/F897</f>
        <v>1.5739870134619489</v>
      </c>
      <c r="C897" s="3">
        <v>0</v>
      </c>
      <c r="D897" s="3">
        <v>0</v>
      </c>
      <c r="E897" s="3">
        <v>398761.52</v>
      </c>
      <c r="F897" s="3">
        <f t="shared" ref="F897" si="795">F896+G897</f>
        <v>253344.86027488438</v>
      </c>
      <c r="G897" s="3">
        <f t="shared" ref="G897" si="796">(C897-D897)/((E897-C897+D897)/F896)</f>
        <v>0</v>
      </c>
      <c r="H897" s="5">
        <f t="shared" ref="H897" si="797">I897/J897</f>
        <v>0.95981343560297061</v>
      </c>
      <c r="I897" s="4">
        <v>3623.91</v>
      </c>
      <c r="J897" s="4">
        <v>3775.64</v>
      </c>
      <c r="K897" s="6">
        <f t="shared" ref="K897" si="798">(B897-H897)</f>
        <v>0.6141735778589783</v>
      </c>
    </row>
    <row r="898" spans="1:11" x14ac:dyDescent="0.2">
      <c r="A898" s="21">
        <v>45412</v>
      </c>
      <c r="B898" s="14">
        <f t="shared" ref="B898" si="799">E898/F898</f>
        <v>1.5830583638635574</v>
      </c>
      <c r="C898" s="3">
        <v>0</v>
      </c>
      <c r="D898" s="3">
        <v>0</v>
      </c>
      <c r="E898" s="3">
        <v>401059.7</v>
      </c>
      <c r="F898" s="3">
        <f t="shared" ref="F898" si="800">F897+G898</f>
        <v>253344.86027488438</v>
      </c>
      <c r="G898" s="3">
        <f t="shared" ref="G898" si="801">(C898-D898)/((E898-C898+D898)/F897)</f>
        <v>0</v>
      </c>
      <c r="H898" s="5">
        <f t="shared" ref="H898" si="802">I898/J898</f>
        <v>0.9546434511764893</v>
      </c>
      <c r="I898" s="4">
        <v>3604.39</v>
      </c>
      <c r="J898" s="4">
        <v>3775.64</v>
      </c>
      <c r="K898" s="6">
        <f t="shared" ref="K898" si="803">(B898-H898)</f>
        <v>0.62841491268706806</v>
      </c>
    </row>
    <row r="899" spans="1:11" x14ac:dyDescent="0.2">
      <c r="A899" s="21">
        <v>45418</v>
      </c>
      <c r="B899" s="14">
        <f t="shared" ref="B899" si="804">E899/F899</f>
        <v>1.6076559025435941</v>
      </c>
      <c r="C899" s="3">
        <v>0</v>
      </c>
      <c r="D899" s="3">
        <v>0</v>
      </c>
      <c r="E899" s="3">
        <v>407291.36</v>
      </c>
      <c r="F899" s="3">
        <f t="shared" ref="F899" si="805">F898+G899</f>
        <v>253344.86027488438</v>
      </c>
      <c r="G899" s="3">
        <f t="shared" ref="G899" si="806">(C899-D899)/((E899-C899+D899)/F898)</f>
        <v>0</v>
      </c>
      <c r="H899" s="5">
        <f t="shared" ref="H899" si="807">I899/J899</f>
        <v>0.9688105857549979</v>
      </c>
      <c r="I899" s="4">
        <v>3657.88</v>
      </c>
      <c r="J899" s="4">
        <v>3775.64</v>
      </c>
      <c r="K899" s="6">
        <f t="shared" ref="K899" si="808">(B899-H899)</f>
        <v>0.63884531678859624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88"/>
  <sheetViews>
    <sheetView workbookViewId="0">
      <pane ySplit="1" topLeftCell="A862" activePane="bottomLeft" state="frozen"/>
      <selection pane="bottomLeft" activeCell="E889" sqref="E889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  <row r="873" spans="1:11" x14ac:dyDescent="0.2">
      <c r="A873" s="21">
        <v>45380</v>
      </c>
      <c r="B873" s="14">
        <f t="shared" ref="B873" si="2434">E873/F873</f>
        <v>1.4750225619206769</v>
      </c>
      <c r="C873" s="3">
        <v>0</v>
      </c>
      <c r="D873" s="3">
        <v>0</v>
      </c>
      <c r="E873" s="3">
        <v>771804.51</v>
      </c>
      <c r="F873" s="3">
        <f t="shared" ref="F873" si="2435">F872+G873</f>
        <v>523249.29118033772</v>
      </c>
      <c r="G873" s="3">
        <f t="shared" ref="G873" si="2436">(C873-D873)/((E873-C873+D873)/F872)</f>
        <v>0</v>
      </c>
      <c r="H873" s="5">
        <f t="shared" ref="H873" si="2437">I873/J873</f>
        <v>0.93692195230477482</v>
      </c>
      <c r="I873" s="4">
        <v>3537.48</v>
      </c>
      <c r="J873" s="4">
        <v>3775.64</v>
      </c>
      <c r="K873" s="6">
        <f t="shared" ref="K873" si="2438">(B873-H873)</f>
        <v>0.53810060961590211</v>
      </c>
    </row>
    <row r="874" spans="1:11" x14ac:dyDescent="0.2">
      <c r="A874" s="21">
        <v>45385</v>
      </c>
      <c r="B874" s="14">
        <f t="shared" ref="B874" si="2439">E874/F874</f>
        <v>1.5004630550553577</v>
      </c>
      <c r="C874" s="3">
        <v>0</v>
      </c>
      <c r="D874" s="3">
        <v>0</v>
      </c>
      <c r="E874" s="3">
        <v>785116.23</v>
      </c>
      <c r="F874" s="3">
        <f t="shared" ref="F874" si="2440">F873+G874</f>
        <v>523249.29118033772</v>
      </c>
      <c r="G874" s="3">
        <f t="shared" ref="G874" si="2441">(C874-D874)/((E874-C874+D874)/F873)</f>
        <v>0</v>
      </c>
      <c r="H874" s="5">
        <f t="shared" ref="H874" si="2442">I874/J874</f>
        <v>0.9449523789344324</v>
      </c>
      <c r="I874" s="4">
        <v>3567.8</v>
      </c>
      <c r="J874" s="4">
        <v>3775.64</v>
      </c>
      <c r="K874" s="6">
        <f t="shared" ref="K874" si="2443">(B874-H874)</f>
        <v>0.55551067612092531</v>
      </c>
    </row>
    <row r="875" spans="1:11" x14ac:dyDescent="0.2">
      <c r="A875" s="21">
        <v>45392</v>
      </c>
      <c r="B875" s="14">
        <f t="shared" ref="B875" si="2444">E875/F875</f>
        <v>1.4603530723879055</v>
      </c>
      <c r="C875" s="3">
        <v>0</v>
      </c>
      <c r="D875" s="3">
        <v>0</v>
      </c>
      <c r="E875" s="3">
        <v>764128.71</v>
      </c>
      <c r="F875" s="3">
        <f t="shared" ref="F875" si="2445">F874+G875</f>
        <v>523249.29118033772</v>
      </c>
      <c r="G875" s="3">
        <f t="shared" ref="G875" si="2446">(C875-D875)/((E875-C875+D875)/F874)</f>
        <v>0</v>
      </c>
      <c r="H875" s="5">
        <f t="shared" ref="H875" si="2447">I875/J875</f>
        <v>0.92824262906421162</v>
      </c>
      <c r="I875" s="4">
        <v>3504.71</v>
      </c>
      <c r="J875" s="4">
        <v>3775.64</v>
      </c>
      <c r="K875" s="6">
        <f t="shared" ref="K875" si="2448">(B875-H875)</f>
        <v>0.53211044332369384</v>
      </c>
    </row>
    <row r="876" spans="1:11" x14ac:dyDescent="0.2">
      <c r="A876" s="21">
        <v>45393</v>
      </c>
      <c r="B876" s="14">
        <f t="shared" ref="B876" si="2449">E876/F876</f>
        <v>1.4618259076367819</v>
      </c>
      <c r="C876" s="3">
        <v>0</v>
      </c>
      <c r="D876" s="3">
        <v>0</v>
      </c>
      <c r="E876" s="3">
        <v>764899.37</v>
      </c>
      <c r="F876" s="3">
        <f t="shared" ref="F876" si="2450">F875+G876</f>
        <v>523249.29118033772</v>
      </c>
      <c r="G876" s="3">
        <f t="shared" ref="G876" si="2451">(C876-D876)/((E876-C876+D876)/F875)</f>
        <v>0</v>
      </c>
      <c r="H876" s="5">
        <f t="shared" ref="H876" si="2452">I876/J876</f>
        <v>0.92811814685722149</v>
      </c>
      <c r="I876" s="4">
        <v>3504.24</v>
      </c>
      <c r="J876" s="4">
        <v>3775.64</v>
      </c>
      <c r="K876" s="6">
        <f t="shared" ref="K876" si="2453">(B876-H876)</f>
        <v>0.53370776077956039</v>
      </c>
    </row>
    <row r="877" spans="1:11" x14ac:dyDescent="0.2">
      <c r="A877" s="21">
        <v>45397</v>
      </c>
      <c r="B877" s="14">
        <f t="shared" ref="B877" si="2454">E877/F877</f>
        <v>1.489721654933589</v>
      </c>
      <c r="C877" s="3">
        <v>0</v>
      </c>
      <c r="D877" s="3">
        <v>0</v>
      </c>
      <c r="E877" s="3">
        <v>779495.8</v>
      </c>
      <c r="F877" s="3">
        <f t="shared" ref="F877" si="2455">F876+G877</f>
        <v>523249.29118033772</v>
      </c>
      <c r="G877" s="3">
        <f t="shared" ref="G877" si="2456">(C877-D877)/((E877-C877+D877)/F876)</f>
        <v>0</v>
      </c>
      <c r="H877" s="5">
        <f t="shared" ref="H877" si="2457">I877/J877</f>
        <v>0.93999427911559363</v>
      </c>
      <c r="I877" s="4">
        <v>3549.08</v>
      </c>
      <c r="J877" s="4">
        <v>3775.64</v>
      </c>
      <c r="K877" s="6">
        <f t="shared" ref="K877" si="2458">(B877-H877)</f>
        <v>0.54972737581799536</v>
      </c>
    </row>
    <row r="878" spans="1:11" x14ac:dyDescent="0.2">
      <c r="A878" s="21">
        <v>45398</v>
      </c>
      <c r="B878" s="14">
        <f t="shared" ref="B878" si="2459">E878/F878</f>
        <v>1.4828649232371029</v>
      </c>
      <c r="C878" s="3">
        <v>0</v>
      </c>
      <c r="D878" s="3">
        <v>0</v>
      </c>
      <c r="E878" s="3">
        <v>775908.02</v>
      </c>
      <c r="F878" s="3">
        <f t="shared" ref="F878" si="2460">F877+G878</f>
        <v>523249.29118033772</v>
      </c>
      <c r="G878" s="3">
        <f t="shared" ref="G878" si="2461">(C878-D878)/((E878-C878+D878)/F877)</f>
        <v>0</v>
      </c>
      <c r="H878" s="5">
        <f t="shared" ref="H878" si="2462">I878/J878</f>
        <v>0.92993770592535308</v>
      </c>
      <c r="I878" s="4">
        <v>3511.11</v>
      </c>
      <c r="J878" s="4">
        <v>3775.64</v>
      </c>
      <c r="K878" s="6">
        <f t="shared" ref="K878" si="2463">(B878-H878)</f>
        <v>0.55292721731174987</v>
      </c>
    </row>
    <row r="879" spans="1:11" x14ac:dyDescent="0.2">
      <c r="A879" s="21">
        <v>45400</v>
      </c>
      <c r="B879" s="14">
        <f t="shared" ref="B879" si="2464">E879/F879</f>
        <v>1.512512244813031</v>
      </c>
      <c r="C879" s="3">
        <v>0</v>
      </c>
      <c r="D879" s="3">
        <v>0</v>
      </c>
      <c r="E879" s="3">
        <v>791420.96</v>
      </c>
      <c r="F879" s="3">
        <f t="shared" ref="F879" si="2465">F878+G879</f>
        <v>523249.29118033772</v>
      </c>
      <c r="G879" s="3">
        <f t="shared" ref="G879" si="2466">(C879-D879)/((E879-C879+D879)/F878)</f>
        <v>0</v>
      </c>
      <c r="H879" s="5">
        <f t="shared" ref="H879" si="2467">I879/J879</f>
        <v>0.94548209045353904</v>
      </c>
      <c r="I879" s="4">
        <v>3569.8</v>
      </c>
      <c r="J879" s="4">
        <v>3775.64</v>
      </c>
      <c r="K879" s="6">
        <f t="shared" ref="K879" si="2468">(B879-H879)</f>
        <v>0.567030154359492</v>
      </c>
    </row>
    <row r="880" spans="1:11" x14ac:dyDescent="0.2">
      <c r="A880" s="21">
        <v>45401</v>
      </c>
      <c r="B880" s="14">
        <f t="shared" ref="B880" si="2469">E880/F880</f>
        <v>1.5077609722515493</v>
      </c>
      <c r="C880" s="3">
        <v>0</v>
      </c>
      <c r="D880" s="3">
        <v>0</v>
      </c>
      <c r="E880" s="3">
        <v>788934.86</v>
      </c>
      <c r="F880" s="3">
        <f t="shared" ref="F880" si="2470">F879+G880</f>
        <v>523249.29118033772</v>
      </c>
      <c r="G880" s="3">
        <f t="shared" ref="G880" si="2471">(C880-D880)/((E880-C880+D880)/F879)</f>
        <v>0</v>
      </c>
      <c r="H880" s="5">
        <f t="shared" ref="H880" si="2472">I880/J880</f>
        <v>0.93802904937970777</v>
      </c>
      <c r="I880" s="4">
        <v>3541.66</v>
      </c>
      <c r="J880" s="4">
        <v>3775.64</v>
      </c>
      <c r="K880" s="6">
        <f t="shared" ref="K880" si="2473">(B880-H880)</f>
        <v>0.56973192287184149</v>
      </c>
    </row>
    <row r="881" spans="1:11" x14ac:dyDescent="0.2">
      <c r="A881" s="21">
        <v>45404</v>
      </c>
      <c r="B881" s="14">
        <f t="shared" ref="B881" si="2474">E881/F881</f>
        <v>1.5114578907808347</v>
      </c>
      <c r="C881" s="3">
        <v>0</v>
      </c>
      <c r="D881" s="3">
        <v>0</v>
      </c>
      <c r="E881" s="3">
        <v>790869.27</v>
      </c>
      <c r="F881" s="3">
        <f t="shared" ref="F881" si="2475">F880+G881</f>
        <v>523249.29118033772</v>
      </c>
      <c r="G881" s="3">
        <f t="shared" ref="G881" si="2476">(C881-D881)/((E881-C881+D881)/F880)</f>
        <v>0</v>
      </c>
      <c r="H881" s="5">
        <f t="shared" ref="H881" si="2477">I881/J881</f>
        <v>0.9351792014069138</v>
      </c>
      <c r="I881" s="4">
        <v>3530.9</v>
      </c>
      <c r="J881" s="4">
        <v>3775.64</v>
      </c>
      <c r="K881" s="6">
        <f t="shared" ref="K881" si="2478">(B881-H881)</f>
        <v>0.5762786893739209</v>
      </c>
    </row>
    <row r="882" spans="1:11" x14ac:dyDescent="0.2">
      <c r="A882" s="21">
        <v>45405</v>
      </c>
      <c r="B882" s="14">
        <f t="shared" ref="B882" si="2479">E882/F882</f>
        <v>1.5042408337037356</v>
      </c>
      <c r="C882" s="3">
        <v>0</v>
      </c>
      <c r="D882" s="3">
        <v>0</v>
      </c>
      <c r="E882" s="3">
        <v>787092.95</v>
      </c>
      <c r="F882" s="3">
        <f t="shared" ref="F882" si="2480">F881+G882</f>
        <v>523249.29118033772</v>
      </c>
      <c r="G882" s="3">
        <f t="shared" ref="G882" si="2481">(C882-D882)/((E882-C882+D882)/F881)</f>
        <v>0</v>
      </c>
      <c r="H882" s="5">
        <f t="shared" ref="H882" si="2482">I882/J882</f>
        <v>0.9286425612611372</v>
      </c>
      <c r="I882" s="4">
        <v>3506.22</v>
      </c>
      <c r="J882" s="4">
        <v>3775.64</v>
      </c>
      <c r="K882" s="6">
        <f t="shared" ref="K882" si="2483">(B882-H882)</f>
        <v>0.57559827244259842</v>
      </c>
    </row>
    <row r="883" spans="1:11" x14ac:dyDescent="0.2">
      <c r="A883" s="21">
        <v>45406</v>
      </c>
      <c r="B883" s="14">
        <f t="shared" ref="B883" si="2484">E883/F883</f>
        <v>1.5041877232638969</v>
      </c>
      <c r="C883" s="3">
        <v>0</v>
      </c>
      <c r="D883" s="3">
        <v>0</v>
      </c>
      <c r="E883" s="3">
        <v>787065.16</v>
      </c>
      <c r="F883" s="3">
        <f t="shared" ref="F883" si="2485">F882+G883</f>
        <v>523249.29118033772</v>
      </c>
      <c r="G883" s="3">
        <f t="shared" ref="G883" si="2486">(C883-D883)/((E883-C883+D883)/F882)</f>
        <v>0</v>
      </c>
      <c r="H883" s="5">
        <f t="shared" ref="H883" si="2487">I883/J883</f>
        <v>0.93272133995825879</v>
      </c>
      <c r="I883" s="4">
        <v>3521.62</v>
      </c>
      <c r="J883" s="4">
        <v>3775.64</v>
      </c>
      <c r="K883" s="6">
        <f t="shared" ref="K883" si="2488">(B883-H883)</f>
        <v>0.57146638330563815</v>
      </c>
    </row>
    <row r="884" spans="1:11" x14ac:dyDescent="0.2">
      <c r="A884" s="21">
        <v>45407</v>
      </c>
      <c r="B884" s="14">
        <f t="shared" ref="B884" si="2489">E884/F884</f>
        <v>1.5044367823686038</v>
      </c>
      <c r="C884" s="3">
        <v>0</v>
      </c>
      <c r="D884" s="3">
        <v>0</v>
      </c>
      <c r="E884" s="3">
        <v>787195.48</v>
      </c>
      <c r="F884" s="3">
        <f t="shared" ref="F884" si="2490">F883+G884</f>
        <v>523249.29118033772</v>
      </c>
      <c r="G884" s="3">
        <f t="shared" ref="G884" si="2491">(C884-D884)/((E884-C884+D884)/F883)</f>
        <v>0</v>
      </c>
      <c r="H884" s="5">
        <f t="shared" ref="H884" si="2492">I884/J884</f>
        <v>0.93501499083599082</v>
      </c>
      <c r="I884" s="4">
        <v>3530.28</v>
      </c>
      <c r="J884" s="4">
        <v>3775.64</v>
      </c>
      <c r="K884" s="6">
        <f t="shared" ref="K884" si="2493">(B884-H884)</f>
        <v>0.56942179153261296</v>
      </c>
    </row>
    <row r="885" spans="1:11" x14ac:dyDescent="0.2">
      <c r="A885" s="21">
        <v>45408</v>
      </c>
      <c r="B885" s="14">
        <f t="shared" ref="B885" si="2494">E885/F885</f>
        <v>1.5180987980091301</v>
      </c>
      <c r="C885" s="3">
        <v>0</v>
      </c>
      <c r="D885" s="3">
        <v>0</v>
      </c>
      <c r="E885" s="3">
        <v>794344.12</v>
      </c>
      <c r="F885" s="3">
        <f t="shared" ref="F885" si="2495">F884+G885</f>
        <v>523249.29118033772</v>
      </c>
      <c r="G885" s="3">
        <f t="shared" ref="G885" si="2496">(C885-D885)/((E885-C885+D885)/F884)</f>
        <v>0</v>
      </c>
      <c r="H885" s="5">
        <f t="shared" ref="H885" si="2497">I885/J885</f>
        <v>0.94931455329427594</v>
      </c>
      <c r="I885" s="4">
        <v>3584.27</v>
      </c>
      <c r="J885" s="4">
        <v>3775.64</v>
      </c>
      <c r="K885" s="6">
        <f t="shared" ref="K885" si="2498">(B885-H885)</f>
        <v>0.56878424471485411</v>
      </c>
    </row>
    <row r="886" spans="1:11" x14ac:dyDescent="0.2">
      <c r="A886" s="21">
        <v>45411</v>
      </c>
      <c r="B886" s="14">
        <f t="shared" ref="B886" si="2499">E886/F886</f>
        <v>1.5344788679766708</v>
      </c>
      <c r="C886" s="3">
        <v>0</v>
      </c>
      <c r="D886" s="3">
        <v>0</v>
      </c>
      <c r="E886" s="3">
        <v>802914.98</v>
      </c>
      <c r="F886" s="3">
        <f t="shared" ref="F886" si="2500">F885+G886</f>
        <v>523249.29118033772</v>
      </c>
      <c r="G886" s="3">
        <f t="shared" ref="G886" si="2501">(C886-D886)/((E886-C886+D886)/F885)</f>
        <v>0</v>
      </c>
      <c r="H886" s="5">
        <f t="shared" ref="H886" si="2502">I886/J886</f>
        <v>0.95981343560297061</v>
      </c>
      <c r="I886" s="4">
        <v>3623.91</v>
      </c>
      <c r="J886" s="4">
        <v>3775.64</v>
      </c>
      <c r="K886" s="6">
        <f t="shared" ref="K886" si="2503">(B886-H886)</f>
        <v>0.57466543237370016</v>
      </c>
    </row>
    <row r="887" spans="1:11" x14ac:dyDescent="0.2">
      <c r="A887" s="21">
        <v>45412</v>
      </c>
      <c r="B887" s="14">
        <f t="shared" ref="B887" si="2504">E887/F887</f>
        <v>1.5407806060880818</v>
      </c>
      <c r="C887" s="3">
        <v>0</v>
      </c>
      <c r="D887" s="3">
        <v>0</v>
      </c>
      <c r="E887" s="3">
        <v>806212.36</v>
      </c>
      <c r="F887" s="3">
        <f t="shared" ref="F887" si="2505">F886+G887</f>
        <v>523249.29118033772</v>
      </c>
      <c r="G887" s="3">
        <f t="shared" ref="G887" si="2506">(C887-D887)/((E887-C887+D887)/F886)</f>
        <v>0</v>
      </c>
      <c r="H887" s="5">
        <f t="shared" ref="H887" si="2507">I887/J887</f>
        <v>0.9546434511764893</v>
      </c>
      <c r="I887" s="4">
        <v>3604.39</v>
      </c>
      <c r="J887" s="4">
        <v>3775.64</v>
      </c>
      <c r="K887" s="6">
        <f t="shared" ref="K887" si="2508">(B887-H887)</f>
        <v>0.58613715491159246</v>
      </c>
    </row>
    <row r="888" spans="1:11" x14ac:dyDescent="0.2">
      <c r="A888" s="21">
        <v>45418</v>
      </c>
      <c r="B888" s="14">
        <f t="shared" ref="B888" si="2509">E888/F888</f>
        <v>1.5650649390325877</v>
      </c>
      <c r="C888" s="3">
        <v>0</v>
      </c>
      <c r="D888" s="3">
        <v>0</v>
      </c>
      <c r="E888" s="3">
        <v>818919.12</v>
      </c>
      <c r="F888" s="3">
        <f t="shared" ref="F888" si="2510">F887+G888</f>
        <v>523249.29118033772</v>
      </c>
      <c r="G888" s="3">
        <f t="shared" ref="G888" si="2511">(C888-D888)/((E888-C888+D888)/F887)</f>
        <v>0</v>
      </c>
      <c r="H888" s="5">
        <f t="shared" ref="H888" si="2512">I888/J888</f>
        <v>0.9688105857549979</v>
      </c>
      <c r="I888" s="4">
        <v>3657.88</v>
      </c>
      <c r="J888" s="4">
        <v>3775.64</v>
      </c>
      <c r="K888" s="6">
        <f t="shared" ref="K888" si="2513">(B888-H888)</f>
        <v>0.5962543532775898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3"/>
  <sheetViews>
    <sheetView workbookViewId="0">
      <pane ySplit="1" topLeftCell="A231" activePane="bottomLeft" state="frozen"/>
      <selection pane="bottomLeft" activeCell="E264" sqref="E264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:F251" si="1134">F245+G246</f>
        <v>65385.675201739934</v>
      </c>
      <c r="G246" s="3">
        <f t="shared" ref="G246:G251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  <row r="247" spans="1:11" x14ac:dyDescent="0.2">
      <c r="A247" s="10">
        <v>45378</v>
      </c>
      <c r="B247" s="2">
        <f t="shared" ref="B247" si="1138">E247/F247</f>
        <v>0.8108828093678403</v>
      </c>
      <c r="C247" s="3">
        <v>0</v>
      </c>
      <c r="D247" s="3">
        <v>0</v>
      </c>
      <c r="E247" s="3">
        <v>53020.12</v>
      </c>
      <c r="F247" s="4">
        <f t="shared" si="1134"/>
        <v>65385.675201739934</v>
      </c>
      <c r="G247" s="3">
        <f t="shared" si="1135"/>
        <v>0</v>
      </c>
      <c r="H247" s="5">
        <f t="shared" ref="H247" si="1139">I247/J247</f>
        <v>0.90909775138591864</v>
      </c>
      <c r="I247" s="4">
        <v>3502.79</v>
      </c>
      <c r="J247" s="4">
        <v>3853.04</v>
      </c>
      <c r="K247" s="6">
        <f t="shared" ref="K247" si="1140">(B247-H247)</f>
        <v>-9.8214942018078344E-2</v>
      </c>
    </row>
    <row r="248" spans="1:11" x14ac:dyDescent="0.2">
      <c r="A248" s="10">
        <v>45380</v>
      </c>
      <c r="B248" s="2">
        <f t="shared" ref="B248" si="1141">E248/F248</f>
        <v>0.81280157826657695</v>
      </c>
      <c r="C248" s="3">
        <v>0</v>
      </c>
      <c r="D248" s="3">
        <v>0</v>
      </c>
      <c r="E248" s="3">
        <v>53145.58</v>
      </c>
      <c r="F248" s="4">
        <f t="shared" si="1134"/>
        <v>65385.675201739934</v>
      </c>
      <c r="G248" s="3">
        <f t="shared" si="1135"/>
        <v>0</v>
      </c>
      <c r="H248" s="5">
        <f t="shared" ref="H248" si="1142">I248/J248</f>
        <v>0.91810103191246395</v>
      </c>
      <c r="I248" s="4">
        <v>3537.48</v>
      </c>
      <c r="J248" s="4">
        <v>3853.04</v>
      </c>
      <c r="K248" s="6">
        <f t="shared" ref="K248" si="1143">(B248-H248)</f>
        <v>-0.105299453645887</v>
      </c>
    </row>
    <row r="249" spans="1:11" x14ac:dyDescent="0.2">
      <c r="A249" s="10">
        <v>45385</v>
      </c>
      <c r="B249" s="2">
        <f t="shared" ref="B249" si="1144">E249/F249</f>
        <v>0.81328792332460198</v>
      </c>
      <c r="C249" s="3">
        <v>0</v>
      </c>
      <c r="D249" s="3">
        <v>0</v>
      </c>
      <c r="E249" s="3">
        <v>53177.38</v>
      </c>
      <c r="F249" s="4">
        <f t="shared" si="1134"/>
        <v>65385.675201739934</v>
      </c>
      <c r="G249" s="3">
        <f t="shared" si="1135"/>
        <v>0</v>
      </c>
      <c r="H249" s="5">
        <f t="shared" ref="H249" si="1145">I249/J249</f>
        <v>0.92597014305587277</v>
      </c>
      <c r="I249" s="4">
        <v>3567.8</v>
      </c>
      <c r="J249" s="4">
        <v>3853.04</v>
      </c>
      <c r="K249" s="6">
        <f t="shared" ref="K249" si="1146">(B249-H249)</f>
        <v>-0.11268221973127079</v>
      </c>
    </row>
    <row r="250" spans="1:11" x14ac:dyDescent="0.2">
      <c r="A250" s="10">
        <v>45392</v>
      </c>
      <c r="B250" s="2">
        <f t="shared" ref="B250" si="1147">E250/F250</f>
        <v>0.7864120060143035</v>
      </c>
      <c r="C250" s="3">
        <v>0</v>
      </c>
      <c r="D250" s="3">
        <v>0</v>
      </c>
      <c r="E250" s="3">
        <v>51420.08</v>
      </c>
      <c r="F250" s="4">
        <f t="shared" si="1134"/>
        <v>65385.675201739934</v>
      </c>
      <c r="G250" s="3">
        <f t="shared" si="1135"/>
        <v>0</v>
      </c>
      <c r="H250" s="5">
        <f t="shared" ref="H250" si="1148">I250/J250</f>
        <v>0.9095960592155804</v>
      </c>
      <c r="I250" s="4">
        <v>3504.71</v>
      </c>
      <c r="J250" s="4">
        <v>3853.04</v>
      </c>
      <c r="K250" s="6">
        <f t="shared" ref="K250" si="1149">(B250-H250)</f>
        <v>-0.1231840532012769</v>
      </c>
    </row>
    <row r="251" spans="1:11" x14ac:dyDescent="0.2">
      <c r="A251" s="10">
        <v>45393</v>
      </c>
      <c r="B251" s="2">
        <f t="shared" ref="B251" si="1150">E251/F251</f>
        <v>0.78148126240715599</v>
      </c>
      <c r="C251" s="3">
        <v>0</v>
      </c>
      <c r="D251" s="3">
        <v>0</v>
      </c>
      <c r="E251" s="3">
        <v>51097.68</v>
      </c>
      <c r="F251" s="4">
        <f t="shared" si="1134"/>
        <v>65385.675201739934</v>
      </c>
      <c r="G251" s="3">
        <f t="shared" si="1135"/>
        <v>0</v>
      </c>
      <c r="H251" s="5">
        <f t="shared" ref="H251" si="1151">I251/J251</f>
        <v>0.90947407761144439</v>
      </c>
      <c r="I251" s="4">
        <v>3504.24</v>
      </c>
      <c r="J251" s="4">
        <v>3853.04</v>
      </c>
      <c r="K251" s="6">
        <f t="shared" ref="K251" si="1152">(B251-H251)</f>
        <v>-0.1279928152042884</v>
      </c>
    </row>
    <row r="252" spans="1:11" x14ac:dyDescent="0.2">
      <c r="A252" s="10">
        <v>45397</v>
      </c>
      <c r="B252" s="2">
        <f t="shared" ref="B252" si="1153">E252/F252</f>
        <v>0.78339911367370785</v>
      </c>
      <c r="C252" s="3">
        <v>0</v>
      </c>
      <c r="D252" s="3">
        <v>0</v>
      </c>
      <c r="E252" s="3">
        <v>51223.08</v>
      </c>
      <c r="F252" s="4">
        <f t="shared" ref="F252" si="1154">F251+G252</f>
        <v>65385.675201739934</v>
      </c>
      <c r="G252" s="3">
        <f t="shared" ref="G252" si="1155">(C252-D252)/((E252-C252+D252)/F251)</f>
        <v>0</v>
      </c>
      <c r="H252" s="5">
        <f t="shared" ref="H252" si="1156">I252/J252</f>
        <v>0.92111164171667048</v>
      </c>
      <c r="I252" s="4">
        <v>3549.08</v>
      </c>
      <c r="J252" s="4">
        <v>3853.04</v>
      </c>
      <c r="K252" s="6">
        <f t="shared" ref="K252" si="1157">(B252-H252)</f>
        <v>-0.13771252804296263</v>
      </c>
    </row>
    <row r="253" spans="1:11" x14ac:dyDescent="0.2">
      <c r="A253" s="10">
        <v>45398</v>
      </c>
      <c r="B253" s="2">
        <f t="shared" ref="B253" si="1158">E253/F253</f>
        <v>0.78108056301972661</v>
      </c>
      <c r="C253" s="3">
        <v>0</v>
      </c>
      <c r="D253" s="3">
        <v>0</v>
      </c>
      <c r="E253" s="3">
        <v>51071.48</v>
      </c>
      <c r="F253" s="4">
        <f t="shared" ref="F253" si="1159">F252+G253</f>
        <v>65385.675201739934</v>
      </c>
      <c r="G253" s="3">
        <f t="shared" ref="G253" si="1160">(C253-D253)/((E253-C253+D253)/F252)</f>
        <v>0</v>
      </c>
      <c r="H253" s="5">
        <f t="shared" ref="H253" si="1161">I253/J253</f>
        <v>0.91125708531445304</v>
      </c>
      <c r="I253" s="4">
        <v>3511.11</v>
      </c>
      <c r="J253" s="4">
        <v>3853.04</v>
      </c>
      <c r="K253" s="6">
        <f t="shared" ref="K253" si="1162">(B253-H253)</f>
        <v>-0.13017652229472643</v>
      </c>
    </row>
    <row r="254" spans="1:11" x14ac:dyDescent="0.2">
      <c r="A254" s="10">
        <v>45400</v>
      </c>
      <c r="B254" s="2">
        <f t="shared" ref="B254" si="1163">E254/F254</f>
        <v>0.80246598109005629</v>
      </c>
      <c r="C254" s="3">
        <v>0</v>
      </c>
      <c r="D254" s="3">
        <v>0</v>
      </c>
      <c r="E254" s="3">
        <v>52469.78</v>
      </c>
      <c r="F254" s="4">
        <f t="shared" ref="F254" si="1164">F253+G254</f>
        <v>65385.675201739934</v>
      </c>
      <c r="G254" s="3">
        <f t="shared" ref="G254" si="1165">(C254-D254)/((E254-C254+D254)/F253)</f>
        <v>0</v>
      </c>
      <c r="H254" s="5">
        <f t="shared" ref="H254" si="1166">I254/J254</f>
        <v>0.92648921371177051</v>
      </c>
      <c r="I254" s="4">
        <v>3569.8</v>
      </c>
      <c r="J254" s="4">
        <v>3853.04</v>
      </c>
      <c r="K254" s="6">
        <f t="shared" ref="K254" si="1167">(B254-H254)</f>
        <v>-0.12402323262171422</v>
      </c>
    </row>
    <row r="255" spans="1:11" x14ac:dyDescent="0.2">
      <c r="A255" s="10">
        <v>45401</v>
      </c>
      <c r="B255" s="2">
        <f t="shared" ref="B255" si="1168">E255/F255</f>
        <v>0.7926396697761845</v>
      </c>
      <c r="C255" s="3">
        <v>0</v>
      </c>
      <c r="D255" s="3">
        <v>0</v>
      </c>
      <c r="E255" s="3">
        <v>51827.28</v>
      </c>
      <c r="F255" s="4">
        <f t="shared" ref="F255" si="1169">F254+G255</f>
        <v>65385.675201739934</v>
      </c>
      <c r="G255" s="3">
        <f t="shared" ref="G255" si="1170">(C255-D255)/((E255-C255+D255)/F254)</f>
        <v>0</v>
      </c>
      <c r="H255" s="5">
        <f t="shared" ref="H255" si="1171">I255/J255</f>
        <v>0.91918588958329006</v>
      </c>
      <c r="I255" s="4">
        <v>3541.66</v>
      </c>
      <c r="J255" s="4">
        <v>3853.04</v>
      </c>
      <c r="K255" s="6">
        <f t="shared" ref="K255" si="1172">(B255-H255)</f>
        <v>-0.12654621980710556</v>
      </c>
    </row>
    <row r="256" spans="1:11" x14ac:dyDescent="0.2">
      <c r="A256" s="10">
        <v>45404</v>
      </c>
      <c r="B256" s="2">
        <f t="shared" ref="B256" si="1173">E256/F256</f>
        <v>0.79270390402913127</v>
      </c>
      <c r="C256" s="3">
        <v>0</v>
      </c>
      <c r="D256" s="3">
        <v>0</v>
      </c>
      <c r="E256" s="3">
        <v>51831.48</v>
      </c>
      <c r="F256" s="4">
        <f t="shared" ref="F256" si="1174">F255+G256</f>
        <v>65385.675201739934</v>
      </c>
      <c r="G256" s="3">
        <f t="shared" ref="G256" si="1175">(C256-D256)/((E256-C256+D256)/F255)</f>
        <v>0</v>
      </c>
      <c r="H256" s="5">
        <f t="shared" ref="H256" si="1176">I256/J256</f>
        <v>0.91639328945456056</v>
      </c>
      <c r="I256" s="4">
        <v>3530.9</v>
      </c>
      <c r="J256" s="4">
        <v>3853.04</v>
      </c>
      <c r="K256" s="6">
        <f t="shared" ref="K256" si="1177">(B256-H256)</f>
        <v>-0.12368938542542929</v>
      </c>
    </row>
    <row r="257" spans="1:11" x14ac:dyDescent="0.2">
      <c r="A257" s="10">
        <v>45405</v>
      </c>
      <c r="B257" s="2">
        <f t="shared" ref="B257" si="1178">E257/F257</f>
        <v>0.79204015008201523</v>
      </c>
      <c r="C257" s="3">
        <v>0</v>
      </c>
      <c r="D257" s="3">
        <v>0</v>
      </c>
      <c r="E257" s="3">
        <v>51788.08</v>
      </c>
      <c r="F257" s="4">
        <f t="shared" ref="F257" si="1179">F256+G257</f>
        <v>65385.675201739934</v>
      </c>
      <c r="G257" s="3">
        <f t="shared" ref="G257" si="1180">(C257-D257)/((E257-C257+D257)/F256)</f>
        <v>0</v>
      </c>
      <c r="H257" s="5">
        <f t="shared" ref="H257" si="1181">I257/J257</f>
        <v>0.9099879575607831</v>
      </c>
      <c r="I257" s="4">
        <v>3506.22</v>
      </c>
      <c r="J257" s="4">
        <v>3853.04</v>
      </c>
      <c r="K257" s="6">
        <f t="shared" ref="K257" si="1182">(B257-H257)</f>
        <v>-0.11794780747876787</v>
      </c>
    </row>
    <row r="258" spans="1:11" x14ac:dyDescent="0.2">
      <c r="A258" s="10">
        <v>45406</v>
      </c>
      <c r="B258" s="2">
        <f t="shared" ref="B258" si="1183">E258/F258</f>
        <v>0.78717669950176439</v>
      </c>
      <c r="C258" s="3">
        <v>0</v>
      </c>
      <c r="D258" s="3">
        <v>0</v>
      </c>
      <c r="E258" s="3">
        <v>51470.080000000002</v>
      </c>
      <c r="F258" s="4">
        <f t="shared" ref="F258" si="1184">F257+G258</f>
        <v>65385.675201739934</v>
      </c>
      <c r="G258" s="3">
        <f t="shared" ref="G258" si="1185">(C258-D258)/((E258-C258+D258)/F257)</f>
        <v>0</v>
      </c>
      <c r="H258" s="5">
        <f t="shared" ref="H258" si="1186">I258/J258</f>
        <v>0.91398480161119533</v>
      </c>
      <c r="I258" s="4">
        <v>3521.62</v>
      </c>
      <c r="J258" s="4">
        <v>3853.04</v>
      </c>
      <c r="K258" s="6">
        <f t="shared" ref="K258" si="1187">(B258-H258)</f>
        <v>-0.12680810210943094</v>
      </c>
    </row>
    <row r="259" spans="1:11" x14ac:dyDescent="0.2">
      <c r="A259" s="10">
        <v>45407</v>
      </c>
      <c r="B259" s="2">
        <f t="shared" ref="B259" si="1188">E259/F259</f>
        <v>0.78838491521195253</v>
      </c>
      <c r="C259" s="3">
        <v>0</v>
      </c>
      <c r="D259" s="3">
        <v>0</v>
      </c>
      <c r="E259" s="3">
        <v>51549.08</v>
      </c>
      <c r="F259" s="4">
        <f t="shared" ref="F259" si="1189">F258+G259</f>
        <v>65385.675201739934</v>
      </c>
      <c r="G259" s="3">
        <f t="shared" ref="G259" si="1190">(C259-D259)/((E259-C259+D259)/F258)</f>
        <v>0</v>
      </c>
      <c r="H259" s="5">
        <f t="shared" ref="H259" si="1191">I259/J259</f>
        <v>0.91623237755123232</v>
      </c>
      <c r="I259" s="4">
        <v>3530.28</v>
      </c>
      <c r="J259" s="4">
        <v>3853.04</v>
      </c>
      <c r="K259" s="6">
        <f t="shared" ref="K259" si="1192">(B259-H259)</f>
        <v>-0.12784746233927979</v>
      </c>
    </row>
    <row r="260" spans="1:11" x14ac:dyDescent="0.2">
      <c r="A260" s="10">
        <v>45408</v>
      </c>
      <c r="B260" s="2">
        <f t="shared" ref="B260" si="1193">E260/F260</f>
        <v>0.79992413993773648</v>
      </c>
      <c r="C260" s="3">
        <v>0</v>
      </c>
      <c r="D260" s="3">
        <v>0</v>
      </c>
      <c r="E260" s="3">
        <v>52303.58</v>
      </c>
      <c r="F260" s="4">
        <f t="shared" ref="F260" si="1194">F259+G260</f>
        <v>65385.675201739934</v>
      </c>
      <c r="G260" s="3">
        <f t="shared" ref="G260" si="1195">(C260-D260)/((E260-C260+D260)/F259)</f>
        <v>0</v>
      </c>
      <c r="H260" s="5">
        <f t="shared" ref="H260" si="1196">I260/J260</f>
        <v>0.93024468990719023</v>
      </c>
      <c r="I260" s="4">
        <v>3584.27</v>
      </c>
      <c r="J260" s="4">
        <v>3853.04</v>
      </c>
      <c r="K260" s="6">
        <f t="shared" ref="K260" si="1197">(B260-H260)</f>
        <v>-0.13032054996945375</v>
      </c>
    </row>
    <row r="261" spans="1:11" x14ac:dyDescent="0.2">
      <c r="A261" s="10">
        <v>45411</v>
      </c>
      <c r="B261" s="2">
        <f t="shared" ref="B261" si="1198">E261/F261</f>
        <v>0.8198551109949157</v>
      </c>
      <c r="C261" s="3">
        <v>0</v>
      </c>
      <c r="D261" s="3">
        <v>0</v>
      </c>
      <c r="E261" s="3">
        <v>53606.78</v>
      </c>
      <c r="F261" s="4">
        <f t="shared" ref="F261" si="1199">F260+G261</f>
        <v>65385.675201739934</v>
      </c>
      <c r="G261" s="3">
        <f t="shared" ref="G261" si="1200">(C261-D261)/((E261-C261+D261)/F260)</f>
        <v>0</v>
      </c>
      <c r="H261" s="5">
        <f t="shared" ref="H261" si="1201">I261/J261</f>
        <v>0.94053267030708221</v>
      </c>
      <c r="I261" s="4">
        <v>3623.91</v>
      </c>
      <c r="J261" s="4">
        <v>3853.04</v>
      </c>
      <c r="K261" s="6">
        <f t="shared" ref="K261" si="1202">(B261-H261)</f>
        <v>-0.1206775593121665</v>
      </c>
    </row>
    <row r="262" spans="1:11" x14ac:dyDescent="0.2">
      <c r="A262" s="10">
        <v>45412</v>
      </c>
      <c r="B262" s="2">
        <f t="shared" ref="B262" si="1203">E262/F262</f>
        <v>0.82113520789292516</v>
      </c>
      <c r="C262" s="3">
        <v>0</v>
      </c>
      <c r="D262" s="3">
        <v>0</v>
      </c>
      <c r="E262" s="3">
        <v>53690.48</v>
      </c>
      <c r="F262" s="4">
        <f t="shared" ref="F262" si="1204">F261+G262</f>
        <v>65385.675201739934</v>
      </c>
      <c r="G262" s="3">
        <f t="shared" ref="G262" si="1205">(C262-D262)/((E262-C262+D262)/F261)</f>
        <v>0</v>
      </c>
      <c r="H262" s="5">
        <f t="shared" ref="H262" si="1206">I262/J262</f>
        <v>0.93546654070552082</v>
      </c>
      <c r="I262" s="4">
        <v>3604.39</v>
      </c>
      <c r="J262" s="4">
        <v>3853.04</v>
      </c>
      <c r="K262" s="6">
        <f t="shared" ref="K262" si="1207">(B262-H262)</f>
        <v>-0.11433133281259567</v>
      </c>
    </row>
    <row r="263" spans="1:11" x14ac:dyDescent="0.2">
      <c r="A263" s="10">
        <v>45418</v>
      </c>
      <c r="B263" s="2">
        <f t="shared" ref="B263" si="1208">E263/F263</f>
        <v>0.83136221859422632</v>
      </c>
      <c r="C263" s="3">
        <v>0</v>
      </c>
      <c r="D263" s="3">
        <v>0</v>
      </c>
      <c r="E263" s="3">
        <v>54359.18</v>
      </c>
      <c r="F263" s="4">
        <f t="shared" ref="F263" si="1209">F262+G263</f>
        <v>65385.675201739934</v>
      </c>
      <c r="G263" s="3">
        <f t="shared" ref="G263" si="1210">(C263-D263)/((E263-C263+D263)/F262)</f>
        <v>0</v>
      </c>
      <c r="H263" s="5">
        <f t="shared" ref="H263" si="1211">I263/J263</f>
        <v>0.9493490853975044</v>
      </c>
      <c r="I263" s="4">
        <v>3657.88</v>
      </c>
      <c r="J263" s="4">
        <v>3853.04</v>
      </c>
      <c r="K263" s="6">
        <f t="shared" ref="K263" si="1212">(B263-H263)</f>
        <v>-0.11798686680327808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2024-05-06T13:41:57Z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