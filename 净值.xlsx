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EE2EED81-03C9-431C-B4DF-E5ACFA0A5440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4" i="3" l="1"/>
  <c r="F264" i="3" s="1"/>
  <c r="B264" i="3" s="1"/>
  <c r="H264" i="3"/>
  <c r="F889" i="2"/>
  <c r="B889" i="2" s="1"/>
  <c r="G889" i="2"/>
  <c r="H889" i="2"/>
  <c r="G900" i="1"/>
  <c r="F900" i="1" s="1"/>
  <c r="B900" i="1" s="1"/>
  <c r="K900" i="1" s="1"/>
  <c r="H900" i="1"/>
  <c r="G263" i="3"/>
  <c r="F263" i="3" s="1"/>
  <c r="B263" i="3" s="1"/>
  <c r="K263" i="3" s="1"/>
  <c r="H263" i="3"/>
  <c r="G888" i="2"/>
  <c r="F888" i="2" s="1"/>
  <c r="B888" i="2" s="1"/>
  <c r="K888" i="2" s="1"/>
  <c r="H888" i="2"/>
  <c r="G899" i="1"/>
  <c r="F899" i="1" s="1"/>
  <c r="B899" i="1" s="1"/>
  <c r="H899" i="1"/>
  <c r="G262" i="3"/>
  <c r="F262" i="3" s="1"/>
  <c r="B262" i="3" s="1"/>
  <c r="H262" i="3"/>
  <c r="F887" i="2"/>
  <c r="B887" i="2" s="1"/>
  <c r="G887" i="2"/>
  <c r="H887" i="2"/>
  <c r="G898" i="1"/>
  <c r="F898" i="1" s="1"/>
  <c r="B898" i="1" s="1"/>
  <c r="K898" i="1" s="1"/>
  <c r="H898" i="1"/>
  <c r="G261" i="3"/>
  <c r="F261" i="3" s="1"/>
  <c r="B261" i="3" s="1"/>
  <c r="H261" i="3"/>
  <c r="G886" i="2"/>
  <c r="F886" i="2" s="1"/>
  <c r="B886" i="2" s="1"/>
  <c r="H886" i="2"/>
  <c r="G897" i="1"/>
  <c r="F897" i="1" s="1"/>
  <c r="B897" i="1" s="1"/>
  <c r="K897" i="1" s="1"/>
  <c r="H897" i="1"/>
  <c r="F260" i="3"/>
  <c r="B260" i="3" s="1"/>
  <c r="G260" i="3"/>
  <c r="H260" i="3"/>
  <c r="G885" i="2"/>
  <c r="F885" i="2" s="1"/>
  <c r="B885" i="2" s="1"/>
  <c r="H885" i="2"/>
  <c r="G896" i="1"/>
  <c r="F896" i="1" s="1"/>
  <c r="B896" i="1" s="1"/>
  <c r="K896" i="1" s="1"/>
  <c r="H896" i="1"/>
  <c r="G259" i="3"/>
  <c r="F259" i="3" s="1"/>
  <c r="B259" i="3" s="1"/>
  <c r="H259" i="3"/>
  <c r="G884" i="2"/>
  <c r="F884" i="2" s="1"/>
  <c r="B884" i="2" s="1"/>
  <c r="H884" i="2"/>
  <c r="G895" i="1"/>
  <c r="F895" i="1" s="1"/>
  <c r="B895" i="1" s="1"/>
  <c r="H895" i="1"/>
  <c r="G258" i="3"/>
  <c r="F258" i="3" s="1"/>
  <c r="B258" i="3" s="1"/>
  <c r="H258" i="3"/>
  <c r="G883" i="2"/>
  <c r="F883" i="2" s="1"/>
  <c r="B883" i="2" s="1"/>
  <c r="H883" i="2"/>
  <c r="G894" i="1"/>
  <c r="F894" i="1" s="1"/>
  <c r="B894" i="1" s="1"/>
  <c r="K894" i="1" s="1"/>
  <c r="H894" i="1"/>
  <c r="G257" i="3"/>
  <c r="F257" i="3" s="1"/>
  <c r="B257" i="3" s="1"/>
  <c r="H257" i="3"/>
  <c r="G882" i="2"/>
  <c r="F882" i="2" s="1"/>
  <c r="B882" i="2" s="1"/>
  <c r="H882" i="2"/>
  <c r="G893" i="1"/>
  <c r="F893" i="1" s="1"/>
  <c r="B893" i="1" s="1"/>
  <c r="K893" i="1" s="1"/>
  <c r="H893" i="1"/>
  <c r="G256" i="3"/>
  <c r="F256" i="3" s="1"/>
  <c r="B256" i="3" s="1"/>
  <c r="H256" i="3"/>
  <c r="F881" i="2"/>
  <c r="B881" i="2" s="1"/>
  <c r="G881" i="2"/>
  <c r="H881" i="2"/>
  <c r="G892" i="1"/>
  <c r="F892" i="1" s="1"/>
  <c r="B892" i="1" s="1"/>
  <c r="H892" i="1"/>
  <c r="G255" i="3"/>
  <c r="F255" i="3" s="1"/>
  <c r="B255" i="3" s="1"/>
  <c r="H255" i="3"/>
  <c r="G880" i="2"/>
  <c r="F880" i="2" s="1"/>
  <c r="B880" i="2" s="1"/>
  <c r="H880" i="2"/>
  <c r="G891" i="1"/>
  <c r="F891" i="1" s="1"/>
  <c r="B891" i="1" s="1"/>
  <c r="H891" i="1"/>
  <c r="G890" i="1"/>
  <c r="F890" i="1" s="1"/>
  <c r="B890" i="1" s="1"/>
  <c r="H890" i="1"/>
  <c r="G879" i="2"/>
  <c r="F879" i="2" s="1"/>
  <c r="B879" i="2" s="1"/>
  <c r="H879" i="2"/>
  <c r="G254" i="3"/>
  <c r="F254" i="3" s="1"/>
  <c r="B254" i="3" s="1"/>
  <c r="H254" i="3"/>
  <c r="G253" i="3"/>
  <c r="F253" i="3" s="1"/>
  <c r="B253" i="3" s="1"/>
  <c r="H253" i="3"/>
  <c r="G878" i="2"/>
  <c r="F878" i="2" s="1"/>
  <c r="B878" i="2" s="1"/>
  <c r="H878" i="2"/>
  <c r="G889" i="1"/>
  <c r="F889" i="1" s="1"/>
  <c r="B889" i="1" s="1"/>
  <c r="K889" i="1" s="1"/>
  <c r="H889" i="1"/>
  <c r="G252" i="3"/>
  <c r="F252" i="3" s="1"/>
  <c r="B252" i="3" s="1"/>
  <c r="H252" i="3"/>
  <c r="G877" i="2"/>
  <c r="F877" i="2" s="1"/>
  <c r="B877" i="2" s="1"/>
  <c r="H877" i="2"/>
  <c r="G888" i="1"/>
  <c r="F888" i="1" s="1"/>
  <c r="B888" i="1" s="1"/>
  <c r="H888" i="1"/>
  <c r="G887" i="1"/>
  <c r="F887" i="1" s="1"/>
  <c r="B887" i="1" s="1"/>
  <c r="K887" i="1" s="1"/>
  <c r="H887" i="1"/>
  <c r="G876" i="2"/>
  <c r="F876" i="2" s="1"/>
  <c r="B876" i="2" s="1"/>
  <c r="H876" i="2"/>
  <c r="G251" i="3"/>
  <c r="F251" i="3" s="1"/>
  <c r="B251" i="3" s="1"/>
  <c r="H251" i="3"/>
  <c r="G250" i="3"/>
  <c r="F250" i="3" s="1"/>
  <c r="B250" i="3" s="1"/>
  <c r="H250" i="3"/>
  <c r="G875" i="2"/>
  <c r="F875" i="2" s="1"/>
  <c r="B875" i="2" s="1"/>
  <c r="H875" i="2"/>
  <c r="G886" i="1"/>
  <c r="F886" i="1" s="1"/>
  <c r="B886" i="1" s="1"/>
  <c r="H886" i="1"/>
  <c r="G249" i="3"/>
  <c r="F249" i="3" s="1"/>
  <c r="B249" i="3" s="1"/>
  <c r="H249" i="3"/>
  <c r="G874" i="2"/>
  <c r="F874" i="2" s="1"/>
  <c r="B874" i="2" s="1"/>
  <c r="K874" i="2" s="1"/>
  <c r="H874" i="2"/>
  <c r="F885" i="1"/>
  <c r="B885" i="1" s="1"/>
  <c r="G885" i="1"/>
  <c r="H885" i="1"/>
  <c r="G248" i="3"/>
  <c r="F248" i="3" s="1"/>
  <c r="B248" i="3" s="1"/>
  <c r="H248" i="3"/>
  <c r="G873" i="2"/>
  <c r="F873" i="2" s="1"/>
  <c r="B873" i="2" s="1"/>
  <c r="H873" i="2"/>
  <c r="G884" i="1"/>
  <c r="F884" i="1" s="1"/>
  <c r="B884" i="1" s="1"/>
  <c r="H884" i="1"/>
  <c r="G247" i="3"/>
  <c r="F247" i="3" s="1"/>
  <c r="B247" i="3" s="1"/>
  <c r="H247" i="3"/>
  <c r="G872" i="2"/>
  <c r="F872" i="2" s="1"/>
  <c r="B872" i="2" s="1"/>
  <c r="H872" i="2"/>
  <c r="F883" i="1"/>
  <c r="B883" i="1" s="1"/>
  <c r="G883" i="1"/>
  <c r="H883" i="1"/>
  <c r="H246" i="3"/>
  <c r="G871" i="2"/>
  <c r="F871" i="2" s="1"/>
  <c r="B871" i="2" s="1"/>
  <c r="H871" i="2"/>
  <c r="G882" i="1"/>
  <c r="F882" i="1" s="1"/>
  <c r="B882" i="1" s="1"/>
  <c r="H882" i="1"/>
  <c r="H245" i="3"/>
  <c r="G870" i="2"/>
  <c r="F870" i="2" s="1"/>
  <c r="B870" i="2" s="1"/>
  <c r="H870" i="2"/>
  <c r="G881" i="1"/>
  <c r="F881" i="1" s="1"/>
  <c r="B881" i="1" s="1"/>
  <c r="H881" i="1"/>
  <c r="H244" i="3"/>
  <c r="G869" i="2"/>
  <c r="F869" i="2" s="1"/>
  <c r="B869" i="2" s="1"/>
  <c r="K869" i="2" s="1"/>
  <c r="H869" i="2"/>
  <c r="G880" i="1"/>
  <c r="F880" i="1" s="1"/>
  <c r="B880" i="1" s="1"/>
  <c r="H880" i="1"/>
  <c r="H243" i="3"/>
  <c r="G868" i="2"/>
  <c r="F868" i="2" s="1"/>
  <c r="B868" i="2" s="1"/>
  <c r="H868" i="2"/>
  <c r="H879" i="1"/>
  <c r="H878" i="1"/>
  <c r="F867" i="2"/>
  <c r="B867" i="2" s="1"/>
  <c r="K867" i="2" s="1"/>
  <c r="G867" i="2"/>
  <c r="H867" i="2"/>
  <c r="H242" i="3"/>
  <c r="H241" i="3"/>
  <c r="G866" i="2"/>
  <c r="F866" i="2" s="1"/>
  <c r="B866" i="2" s="1"/>
  <c r="H866" i="2"/>
  <c r="H877" i="1"/>
  <c r="H240" i="3"/>
  <c r="G865" i="2"/>
  <c r="F865" i="2" s="1"/>
  <c r="B865" i="2" s="1"/>
  <c r="H865" i="2"/>
  <c r="H876" i="1"/>
  <c r="H239" i="3"/>
  <c r="G864" i="2"/>
  <c r="F864" i="2" s="1"/>
  <c r="B864" i="2" s="1"/>
  <c r="H864" i="2"/>
  <c r="H875" i="1"/>
  <c r="H238" i="3"/>
  <c r="G863" i="2"/>
  <c r="F863" i="2" s="1"/>
  <c r="B863" i="2" s="1"/>
  <c r="H863" i="2"/>
  <c r="H874" i="1"/>
  <c r="H237" i="3"/>
  <c r="G862" i="2"/>
  <c r="F862" i="2" s="1"/>
  <c r="B862" i="2" s="1"/>
  <c r="H862" i="2"/>
  <c r="H873" i="1"/>
  <c r="H236" i="3"/>
  <c r="G861" i="2"/>
  <c r="F861" i="2" s="1"/>
  <c r="B861" i="2" s="1"/>
  <c r="K861" i="2" s="1"/>
  <c r="H861" i="2"/>
  <c r="H872" i="1"/>
  <c r="H235" i="3"/>
  <c r="H860" i="2"/>
  <c r="H871" i="1"/>
  <c r="H234" i="3"/>
  <c r="G859" i="2"/>
  <c r="F859" i="2" s="1"/>
  <c r="B859" i="2" s="1"/>
  <c r="H859" i="2"/>
  <c r="H870" i="1"/>
  <c r="H233" i="3"/>
  <c r="G858" i="2"/>
  <c r="F858" i="2" s="1"/>
  <c r="B858" i="2" s="1"/>
  <c r="H858" i="2"/>
  <c r="H869" i="1"/>
  <c r="H232" i="3"/>
  <c r="G857" i="2"/>
  <c r="F857" i="2" s="1"/>
  <c r="B857" i="2" s="1"/>
  <c r="K857" i="2" s="1"/>
  <c r="H857" i="2"/>
  <c r="H868" i="1"/>
  <c r="H231" i="3"/>
  <c r="G856" i="2"/>
  <c r="F856" i="2" s="1"/>
  <c r="B856" i="2" s="1"/>
  <c r="K856" i="2" s="1"/>
  <c r="H856" i="2"/>
  <c r="H867" i="1"/>
  <c r="H230" i="3"/>
  <c r="H855" i="2"/>
  <c r="H866" i="1"/>
  <c r="H229" i="3"/>
  <c r="F854" i="2"/>
  <c r="B854" i="2" s="1"/>
  <c r="G854" i="2"/>
  <c r="H854" i="2"/>
  <c r="H865" i="1"/>
  <c r="H228" i="3"/>
  <c r="G853" i="2"/>
  <c r="F853" i="2" s="1"/>
  <c r="B853" i="2" s="1"/>
  <c r="H853" i="2"/>
  <c r="H864" i="1"/>
  <c r="H227" i="3"/>
  <c r="G852" i="2"/>
  <c r="F852" i="2" s="1"/>
  <c r="B852" i="2" s="1"/>
  <c r="H852" i="2"/>
  <c r="H863" i="1"/>
  <c r="H226" i="3"/>
  <c r="G851" i="2"/>
  <c r="F851" i="2" s="1"/>
  <c r="B851" i="2" s="1"/>
  <c r="H851" i="2"/>
  <c r="H862" i="1"/>
  <c r="H225" i="3"/>
  <c r="G850" i="2"/>
  <c r="F850" i="2" s="1"/>
  <c r="B850" i="2" s="1"/>
  <c r="H850" i="2"/>
  <c r="H861" i="1"/>
  <c r="H224" i="3"/>
  <c r="G849" i="2"/>
  <c r="F849" i="2" s="1"/>
  <c r="B849" i="2" s="1"/>
  <c r="H849" i="2"/>
  <c r="H860" i="1"/>
  <c r="H223" i="3"/>
  <c r="F848" i="2"/>
  <c r="B848" i="2" s="1"/>
  <c r="G848" i="2"/>
  <c r="H848" i="2"/>
  <c r="H859" i="1"/>
  <c r="H222" i="3"/>
  <c r="G847" i="2"/>
  <c r="F847" i="2" s="1"/>
  <c r="B847" i="2" s="1"/>
  <c r="K847" i="2" s="1"/>
  <c r="H847" i="2"/>
  <c r="H858" i="1"/>
  <c r="H221" i="3"/>
  <c r="G846" i="2"/>
  <c r="F846" i="2" s="1"/>
  <c r="B846" i="2" s="1"/>
  <c r="H846" i="2"/>
  <c r="H857" i="1"/>
  <c r="H220" i="3"/>
  <c r="G845" i="2"/>
  <c r="F845" i="2" s="1"/>
  <c r="B845" i="2" s="1"/>
  <c r="H845" i="2"/>
  <c r="H856" i="1"/>
  <c r="H219" i="3"/>
  <c r="G844" i="2"/>
  <c r="F844" i="2" s="1"/>
  <c r="B844" i="2" s="1"/>
  <c r="H844" i="2"/>
  <c r="H855" i="1"/>
  <c r="H854" i="1"/>
  <c r="F843" i="2"/>
  <c r="B843" i="2" s="1"/>
  <c r="G843" i="2"/>
  <c r="H843" i="2"/>
  <c r="H218" i="3"/>
  <c r="H217" i="3"/>
  <c r="G842" i="2"/>
  <c r="F842" i="2" s="1"/>
  <c r="B842" i="2" s="1"/>
  <c r="H842" i="2"/>
  <c r="H853" i="1"/>
  <c r="H852" i="1"/>
  <c r="G841" i="2"/>
  <c r="F841" i="2" s="1"/>
  <c r="B841" i="2" s="1"/>
  <c r="H841" i="2"/>
  <c r="H216" i="3"/>
  <c r="H215" i="3"/>
  <c r="G840" i="2"/>
  <c r="F840" i="2" s="1"/>
  <c r="B840" i="2" s="1"/>
  <c r="H840" i="2"/>
  <c r="H851" i="1"/>
  <c r="H214" i="3"/>
  <c r="G839" i="2"/>
  <c r="F839" i="2" s="1"/>
  <c r="B839" i="2" s="1"/>
  <c r="K839" i="2" s="1"/>
  <c r="H839" i="2"/>
  <c r="H850" i="1"/>
  <c r="H213" i="3"/>
  <c r="G838" i="2"/>
  <c r="F838" i="2" s="1"/>
  <c r="B838" i="2" s="1"/>
  <c r="H838" i="2"/>
  <c r="H849" i="1"/>
  <c r="H212" i="3"/>
  <c r="G837" i="2"/>
  <c r="F837" i="2" s="1"/>
  <c r="B837" i="2" s="1"/>
  <c r="H837" i="2"/>
  <c r="H848" i="1"/>
  <c r="H847" i="1"/>
  <c r="G836" i="2"/>
  <c r="F836" i="2" s="1"/>
  <c r="B836" i="2" s="1"/>
  <c r="H836" i="2"/>
  <c r="H211" i="3"/>
  <c r="H210" i="3"/>
  <c r="G835" i="2"/>
  <c r="F835" i="2" s="1"/>
  <c r="B835" i="2" s="1"/>
  <c r="K835" i="2" s="1"/>
  <c r="H835" i="2"/>
  <c r="H846" i="1"/>
  <c r="H209" i="3"/>
  <c r="G834" i="2"/>
  <c r="F834" i="2" s="1"/>
  <c r="B834" i="2" s="1"/>
  <c r="H834" i="2"/>
  <c r="H845" i="1"/>
  <c r="H844" i="1"/>
  <c r="G833" i="2"/>
  <c r="F833" i="2" s="1"/>
  <c r="B833" i="2" s="1"/>
  <c r="H833" i="2"/>
  <c r="H208" i="3"/>
  <c r="H207" i="3"/>
  <c r="H832" i="2"/>
  <c r="H843" i="1"/>
  <c r="H206" i="3"/>
  <c r="H831" i="2"/>
  <c r="H842" i="1"/>
  <c r="H205" i="3"/>
  <c r="H830" i="2"/>
  <c r="H841" i="1"/>
  <c r="H204" i="3"/>
  <c r="H829" i="2"/>
  <c r="H840" i="1"/>
  <c r="H839" i="1"/>
  <c r="H828" i="2"/>
  <c r="H203" i="3"/>
  <c r="H838" i="1"/>
  <c r="H827" i="2"/>
  <c r="H202" i="3"/>
  <c r="H201" i="3"/>
  <c r="H826" i="2"/>
  <c r="H837" i="1"/>
  <c r="H836" i="1"/>
  <c r="H825" i="2"/>
  <c r="H200" i="3"/>
  <c r="H835" i="1"/>
  <c r="H824" i="2"/>
  <c r="H199" i="3"/>
  <c r="H198" i="3"/>
  <c r="H823" i="2"/>
  <c r="H834" i="1"/>
  <c r="H197" i="3"/>
  <c r="H822" i="2"/>
  <c r="H833" i="1"/>
  <c r="H196" i="3"/>
  <c r="H821" i="2"/>
  <c r="H832" i="1"/>
  <c r="H195" i="3"/>
  <c r="H820" i="2"/>
  <c r="H831" i="1"/>
  <c r="H830" i="1"/>
  <c r="H819" i="2"/>
  <c r="H194" i="3"/>
  <c r="H193" i="3"/>
  <c r="H818" i="2"/>
  <c r="H829" i="1"/>
  <c r="H192" i="3"/>
  <c r="H817" i="2"/>
  <c r="H828" i="1"/>
  <c r="H191" i="3"/>
  <c r="H827" i="1"/>
  <c r="H190" i="3"/>
  <c r="H816" i="2"/>
  <c r="H826" i="1"/>
  <c r="H189" i="3"/>
  <c r="H815" i="2"/>
  <c r="H825" i="1"/>
  <c r="H188" i="3"/>
  <c r="H814" i="2"/>
  <c r="H824" i="1"/>
  <c r="H823" i="1"/>
  <c r="H813" i="2"/>
  <c r="H187" i="3"/>
  <c r="H186" i="3"/>
  <c r="H812" i="2"/>
  <c r="H822" i="1"/>
  <c r="H185" i="3"/>
  <c r="H811" i="2"/>
  <c r="H821" i="1"/>
  <c r="H184" i="3"/>
  <c r="H820" i="1"/>
  <c r="H810" i="2"/>
  <c r="H183" i="3"/>
  <c r="H809" i="2"/>
  <c r="H819" i="1"/>
  <c r="H182" i="3"/>
  <c r="H808" i="2"/>
  <c r="H818" i="1"/>
  <c r="H181" i="3"/>
  <c r="H807" i="2"/>
  <c r="H817" i="1"/>
  <c r="H180" i="3"/>
  <c r="H806" i="2"/>
  <c r="H816" i="1"/>
  <c r="H179" i="3"/>
  <c r="H805" i="2"/>
  <c r="H815" i="1"/>
  <c r="H178" i="3"/>
  <c r="H804" i="2"/>
  <c r="H814" i="1"/>
  <c r="H813" i="1"/>
  <c r="H803" i="2"/>
  <c r="H177" i="3"/>
  <c r="H176" i="3"/>
  <c r="H802" i="2"/>
  <c r="H812" i="1"/>
  <c r="H811" i="1"/>
  <c r="H801" i="2"/>
  <c r="H175" i="3"/>
  <c r="H800" i="2"/>
  <c r="H810" i="1"/>
  <c r="H809" i="1"/>
  <c r="H799" i="2"/>
  <c r="H174" i="3"/>
  <c r="H808" i="1"/>
  <c r="H798" i="2"/>
  <c r="H173" i="3"/>
  <c r="H172" i="3"/>
  <c r="H797" i="2"/>
  <c r="H807" i="1"/>
  <c r="H806" i="1"/>
  <c r="H796" i="2"/>
  <c r="H171" i="3"/>
  <c r="H170" i="3"/>
  <c r="H795" i="2"/>
  <c r="H805" i="1"/>
  <c r="H804" i="1"/>
  <c r="H794" i="2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H55" i="1"/>
  <c r="K55" i="1" s="1"/>
  <c r="G55" i="1"/>
  <c r="B55" i="1"/>
  <c r="H54" i="1"/>
  <c r="G54" i="1"/>
  <c r="B54" i="1"/>
  <c r="H53" i="1"/>
  <c r="G53" i="1"/>
  <c r="B53" i="1"/>
  <c r="H52" i="1"/>
  <c r="G52" i="1"/>
  <c r="B52" i="1"/>
  <c r="H51" i="1"/>
  <c r="G51" i="1"/>
  <c r="B51" i="1"/>
  <c r="H50" i="1"/>
  <c r="G50" i="1"/>
  <c r="B50" i="1"/>
  <c r="H49" i="1"/>
  <c r="G49" i="1"/>
  <c r="B49" i="1"/>
  <c r="H48" i="1"/>
  <c r="G48" i="1"/>
  <c r="B48" i="1"/>
  <c r="H47" i="1"/>
  <c r="G47" i="1"/>
  <c r="B47" i="1"/>
  <c r="H46" i="1"/>
  <c r="G46" i="1"/>
  <c r="B46" i="1"/>
  <c r="H45" i="1"/>
  <c r="G45" i="1"/>
  <c r="B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K40" i="1" s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K28" i="1" s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H18" i="1"/>
  <c r="G18" i="1"/>
  <c r="B18" i="1"/>
  <c r="H17" i="1"/>
  <c r="G17" i="1"/>
  <c r="B17" i="1"/>
  <c r="H16" i="1"/>
  <c r="G16" i="1"/>
  <c r="B16" i="1"/>
  <c r="K16" i="1" s="1"/>
  <c r="H15" i="1"/>
  <c r="G15" i="1"/>
  <c r="B15" i="1"/>
  <c r="H14" i="1"/>
  <c r="G14" i="1"/>
  <c r="B14" i="1"/>
  <c r="H13" i="1"/>
  <c r="G13" i="1"/>
  <c r="B13" i="1"/>
  <c r="H12" i="1"/>
  <c r="G12" i="1"/>
  <c r="B12" i="1"/>
  <c r="H11" i="1"/>
  <c r="G11" i="1"/>
  <c r="B11" i="1"/>
  <c r="H10" i="1"/>
  <c r="G10" i="1"/>
  <c r="B10" i="1"/>
  <c r="H9" i="1"/>
  <c r="G9" i="1"/>
  <c r="B9" i="1"/>
  <c r="H8" i="1"/>
  <c r="G8" i="1"/>
  <c r="B8" i="1"/>
  <c r="H7" i="1"/>
  <c r="G7" i="1"/>
  <c r="B7" i="1"/>
  <c r="H6" i="1"/>
  <c r="G6" i="1"/>
  <c r="B6" i="1"/>
  <c r="H5" i="1"/>
  <c r="G5" i="1"/>
  <c r="B5" i="1"/>
  <c r="H4" i="1"/>
  <c r="G4" i="1"/>
  <c r="B4" i="1"/>
  <c r="K4" i="1" s="1"/>
  <c r="H3" i="1"/>
  <c r="G3" i="1"/>
  <c r="B3" i="1"/>
  <c r="H2" i="1"/>
  <c r="B2" i="1"/>
  <c r="K264" i="3" l="1"/>
  <c r="K889" i="2"/>
  <c r="K899" i="1"/>
  <c r="K262" i="3"/>
  <c r="K887" i="2"/>
  <c r="K261" i="3"/>
  <c r="K886" i="2"/>
  <c r="K260" i="3"/>
  <c r="K885" i="2"/>
  <c r="K259" i="3"/>
  <c r="K884" i="2"/>
  <c r="K895" i="1"/>
  <c r="K258" i="3"/>
  <c r="K883" i="2"/>
  <c r="K257" i="3"/>
  <c r="K882" i="2"/>
  <c r="K256" i="3"/>
  <c r="K881" i="2"/>
  <c r="K892" i="1"/>
  <c r="K255" i="3"/>
  <c r="K880" i="2"/>
  <c r="K891" i="1"/>
  <c r="K890" i="1"/>
  <c r="K879" i="2"/>
  <c r="K254" i="3"/>
  <c r="K253" i="3"/>
  <c r="K878" i="2"/>
  <c r="K252" i="3"/>
  <c r="K877" i="2"/>
  <c r="K888" i="1"/>
  <c r="K876" i="2"/>
  <c r="K251" i="3"/>
  <c r="K250" i="3"/>
  <c r="K875" i="2"/>
  <c r="K886" i="1"/>
  <c r="K249" i="3"/>
  <c r="K885" i="1"/>
  <c r="K884" i="1"/>
  <c r="K248" i="3"/>
  <c r="K873" i="2"/>
  <c r="K247" i="3"/>
  <c r="K872" i="2"/>
  <c r="K883" i="1"/>
  <c r="K871" i="2"/>
  <c r="K882" i="1"/>
  <c r="K870" i="2"/>
  <c r="K881" i="1"/>
  <c r="K880" i="1"/>
  <c r="K3" i="1"/>
  <c r="K13" i="1"/>
  <c r="K15" i="1"/>
  <c r="K23" i="1"/>
  <c r="K25" i="1"/>
  <c r="K27" i="1"/>
  <c r="K35" i="1"/>
  <c r="K37" i="1"/>
  <c r="K39" i="1"/>
  <c r="K47" i="1"/>
  <c r="K11" i="1"/>
  <c r="K868" i="2"/>
  <c r="K22" i="1"/>
  <c r="K34" i="1"/>
  <c r="K46" i="1"/>
  <c r="K10" i="1"/>
  <c r="K5" i="1"/>
  <c r="K7" i="1"/>
  <c r="K9" i="1"/>
  <c r="K17" i="1"/>
  <c r="K19" i="1"/>
  <c r="K21" i="1"/>
  <c r="K29" i="1"/>
  <c r="K31" i="1"/>
  <c r="K33" i="1"/>
  <c r="K41" i="1"/>
  <c r="K43" i="1"/>
  <c r="K45" i="1"/>
  <c r="K49" i="1"/>
  <c r="K53" i="1"/>
  <c r="K866" i="2"/>
  <c r="K865" i="2"/>
  <c r="K864" i="2"/>
  <c r="K863" i="2"/>
  <c r="K862" i="2"/>
  <c r="G860" i="2"/>
  <c r="F860" i="2" s="1"/>
  <c r="B860" i="2" s="1"/>
  <c r="K860" i="2" s="1"/>
  <c r="K859" i="2"/>
  <c r="K858" i="2"/>
  <c r="G855" i="2"/>
  <c r="F855" i="2" s="1"/>
  <c r="B855" i="2" s="1"/>
  <c r="K855" i="2"/>
  <c r="K854" i="2"/>
  <c r="K853" i="2"/>
  <c r="K852" i="2"/>
  <c r="K851" i="2"/>
  <c r="K850" i="2"/>
  <c r="K849" i="2"/>
  <c r="K848" i="2"/>
  <c r="K846" i="2"/>
  <c r="K845" i="2"/>
  <c r="K844" i="2"/>
  <c r="K843" i="2"/>
  <c r="K842" i="2"/>
  <c r="K841" i="2"/>
  <c r="K840" i="2"/>
  <c r="K838" i="2"/>
  <c r="K837" i="2"/>
  <c r="K836" i="2"/>
  <c r="K834" i="2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 s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 s="1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 s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 s="1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 s="1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F75" i="1" s="1"/>
  <c r="B74" i="1"/>
  <c r="K74" i="1" s="1"/>
  <c r="B19" i="3"/>
  <c r="K19" i="3" s="1"/>
  <c r="G20" i="3"/>
  <c r="F20" i="3" s="1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 s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 s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 s="1"/>
  <c r="B95" i="1"/>
  <c r="K95" i="1" s="1"/>
  <c r="B96" i="1" l="1"/>
  <c r="K96" i="1" s="1"/>
  <c r="G97" i="1"/>
  <c r="F97" i="1" s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 s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 s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 s="1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 s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 s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 s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 s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 s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 s="1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 s="1"/>
  <c r="G123" i="2"/>
  <c r="F123" i="2" s="1"/>
  <c r="B122" i="2"/>
  <c r="K122" i="2" s="1"/>
  <c r="G69" i="3"/>
  <c r="F69" i="3" s="1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 s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 s="1"/>
  <c r="G127" i="1" l="1"/>
  <c r="F127" i="1" s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 s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 s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 s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 s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 s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 s="1"/>
  <c r="G139" i="1" l="1"/>
  <c r="F139" i="1" s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 s="1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 s="1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 s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 s="1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 s="1"/>
  <c r="G167" i="2"/>
  <c r="F167" i="2" s="1"/>
  <c r="B166" i="2"/>
  <c r="K166" i="2" s="1"/>
  <c r="G113" i="3"/>
  <c r="F113" i="3" s="1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 s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 s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 s="1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 s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 s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 s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 s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 s="1"/>
  <c r="B221" i="1"/>
  <c r="K221" i="1" s="1"/>
  <c r="B167" i="3" l="1"/>
  <c r="K167" i="3" s="1"/>
  <c r="G168" i="3"/>
  <c r="F168" i="3" s="1"/>
  <c r="B222" i="1"/>
  <c r="K222" i="1" s="1"/>
  <c r="G223" i="1"/>
  <c r="F223" i="1" s="1"/>
  <c r="G222" i="2"/>
  <c r="F222" i="2"/>
  <c r="B221" i="2"/>
  <c r="K221" i="2" s="1"/>
  <c r="B168" i="3" l="1"/>
  <c r="K168" i="3" s="1"/>
  <c r="G169" i="3"/>
  <c r="F169" i="3" s="1"/>
  <c r="G223" i="2"/>
  <c r="F223" i="2"/>
  <c r="B222" i="2"/>
  <c r="K222" i="2" s="1"/>
  <c r="G224" i="1"/>
  <c r="F224" i="1" s="1"/>
  <c r="B223" i="1"/>
  <c r="K223" i="1" s="1"/>
  <c r="B169" i="3" l="1"/>
  <c r="K169" i="3" s="1"/>
  <c r="G170" i="3"/>
  <c r="F170" i="3" s="1"/>
  <c r="B224" i="1"/>
  <c r="K224" i="1" s="1"/>
  <c r="G225" i="1"/>
  <c r="F225" i="1" s="1"/>
  <c r="G224" i="2"/>
  <c r="F224" i="2" s="1"/>
  <c r="B223" i="2"/>
  <c r="K223" i="2" s="1"/>
  <c r="B170" i="3" l="1"/>
  <c r="K170" i="3" s="1"/>
  <c r="G171" i="3"/>
  <c r="F171" i="3" s="1"/>
  <c r="B224" i="2"/>
  <c r="K224" i="2" s="1"/>
  <c r="G225" i="2"/>
  <c r="F225" i="2"/>
  <c r="G226" i="1"/>
  <c r="F226" i="1" s="1"/>
  <c r="B225" i="1"/>
  <c r="K225" i="1" s="1"/>
  <c r="B171" i="3" l="1"/>
  <c r="K171" i="3" s="1"/>
  <c r="G172" i="3"/>
  <c r="F172" i="3" s="1"/>
  <c r="B226" i="1"/>
  <c r="K226" i="1" s="1"/>
  <c r="G227" i="1"/>
  <c r="F227" i="1" s="1"/>
  <c r="B225" i="2"/>
  <c r="K225" i="2" s="1"/>
  <c r="G226" i="2"/>
  <c r="F226" i="2" s="1"/>
  <c r="B172" i="3" l="1"/>
  <c r="K172" i="3" s="1"/>
  <c r="G173" i="3"/>
  <c r="F173" i="3" s="1"/>
  <c r="G227" i="2"/>
  <c r="F227" i="2"/>
  <c r="B226" i="2"/>
  <c r="K226" i="2" s="1"/>
  <c r="B227" i="1"/>
  <c r="K227" i="1" s="1"/>
  <c r="G228" i="1"/>
  <c r="F228" i="1" s="1"/>
  <c r="B173" i="3" l="1"/>
  <c r="K173" i="3" s="1"/>
  <c r="G174" i="3"/>
  <c r="F174" i="3" s="1"/>
  <c r="G229" i="1"/>
  <c r="F229" i="1" s="1"/>
  <c r="B228" i="1"/>
  <c r="K228" i="1" s="1"/>
  <c r="B227" i="2"/>
  <c r="K227" i="2" s="1"/>
  <c r="G228" i="2"/>
  <c r="F228" i="2"/>
  <c r="B174" i="3" l="1"/>
  <c r="K174" i="3" s="1"/>
  <c r="G175" i="3"/>
  <c r="F175" i="3" s="1"/>
  <c r="G229" i="2"/>
  <c r="B228" i="2"/>
  <c r="K228" i="2" s="1"/>
  <c r="F229" i="2"/>
  <c r="B229" i="1"/>
  <c r="K229" i="1" s="1"/>
  <c r="G230" i="1"/>
  <c r="F230" i="1" s="1"/>
  <c r="B175" i="3" l="1"/>
  <c r="K175" i="3" s="1"/>
  <c r="G176" i="3"/>
  <c r="F176" i="3" s="1"/>
  <c r="G231" i="1"/>
  <c r="F231" i="1" s="1"/>
  <c r="B230" i="1"/>
  <c r="K230" i="1" s="1"/>
  <c r="B229" i="2"/>
  <c r="K229" i="2" s="1"/>
  <c r="G230" i="2"/>
  <c r="F230" i="2" s="1"/>
  <c r="B176" i="3" l="1"/>
  <c r="K176" i="3" s="1"/>
  <c r="G177" i="3"/>
  <c r="F177" i="3" s="1"/>
  <c r="G231" i="2"/>
  <c r="F231" i="2"/>
  <c r="B230" i="2"/>
  <c r="K230" i="2" s="1"/>
  <c r="G232" i="1"/>
  <c r="F232" i="1" s="1"/>
  <c r="B231" i="1"/>
  <c r="K231" i="1" s="1"/>
  <c r="B177" i="3" l="1"/>
  <c r="K177" i="3" s="1"/>
  <c r="G178" i="3"/>
  <c r="F178" i="3" s="1"/>
  <c r="B232" i="1"/>
  <c r="K232" i="1" s="1"/>
  <c r="G233" i="1"/>
  <c r="F233" i="1" s="1"/>
  <c r="B231" i="2"/>
  <c r="K231" i="2" s="1"/>
  <c r="G232" i="2"/>
  <c r="F232" i="2" s="1"/>
  <c r="B178" i="3" l="1"/>
  <c r="K178" i="3" s="1"/>
  <c r="G179" i="3"/>
  <c r="F179" i="3" s="1"/>
  <c r="B232" i="2"/>
  <c r="K232" i="2" s="1"/>
  <c r="G233" i="2"/>
  <c r="F233" i="2"/>
  <c r="G234" i="1"/>
  <c r="F234" i="1" s="1"/>
  <c r="B233" i="1"/>
  <c r="K233" i="1" s="1"/>
  <c r="B179" i="3" l="1"/>
  <c r="K179" i="3" s="1"/>
  <c r="G180" i="3"/>
  <c r="F180" i="3" s="1"/>
  <c r="B234" i="1"/>
  <c r="K234" i="1" s="1"/>
  <c r="G235" i="1"/>
  <c r="F235" i="1" s="1"/>
  <c r="G234" i="2"/>
  <c r="F234" i="2" s="1"/>
  <c r="B233" i="2"/>
  <c r="K233" i="2" s="1"/>
  <c r="B180" i="3" l="1"/>
  <c r="K180" i="3" s="1"/>
  <c r="G181" i="3"/>
  <c r="F181" i="3" s="1"/>
  <c r="G235" i="2"/>
  <c r="F235" i="2"/>
  <c r="B234" i="2"/>
  <c r="K234" i="2" s="1"/>
  <c r="G236" i="1"/>
  <c r="F236" i="1" s="1"/>
  <c r="B235" i="1"/>
  <c r="K235" i="1" s="1"/>
  <c r="B181" i="3" l="1"/>
  <c r="K181" i="3" s="1"/>
  <c r="G182" i="3"/>
  <c r="F182" i="3" s="1"/>
  <c r="B236" i="1"/>
  <c r="K236" i="1" s="1"/>
  <c r="G237" i="1"/>
  <c r="F237" i="1" s="1"/>
  <c r="G236" i="2"/>
  <c r="F236" i="2" s="1"/>
  <c r="B235" i="2"/>
  <c r="K235" i="2" s="1"/>
  <c r="B182" i="3" l="1"/>
  <c r="K182" i="3" s="1"/>
  <c r="G183" i="3"/>
  <c r="F183" i="3" s="1"/>
  <c r="B236" i="2"/>
  <c r="K236" i="2" s="1"/>
  <c r="G237" i="2"/>
  <c r="F237" i="2"/>
  <c r="G238" i="1"/>
  <c r="F238" i="1" s="1"/>
  <c r="B237" i="1"/>
  <c r="K237" i="1" s="1"/>
  <c r="B183" i="3" l="1"/>
  <c r="K183" i="3" s="1"/>
  <c r="G184" i="3"/>
  <c r="F184" i="3" s="1"/>
  <c r="B238" i="1"/>
  <c r="K238" i="1" s="1"/>
  <c r="G239" i="1"/>
  <c r="F239" i="1" s="1"/>
  <c r="B237" i="2"/>
  <c r="K237" i="2" s="1"/>
  <c r="G238" i="2"/>
  <c r="F238" i="2" s="1"/>
  <c r="B184" i="3" l="1"/>
  <c r="K184" i="3" s="1"/>
  <c r="G185" i="3"/>
  <c r="F185" i="3" s="1"/>
  <c r="G239" i="2"/>
  <c r="F239" i="2"/>
  <c r="B238" i="2"/>
  <c r="K238" i="2" s="1"/>
  <c r="B239" i="1"/>
  <c r="K239" i="1" s="1"/>
  <c r="G240" i="1"/>
  <c r="F240" i="1" s="1"/>
  <c r="B185" i="3" l="1"/>
  <c r="K185" i="3" s="1"/>
  <c r="G186" i="3"/>
  <c r="F186" i="3" s="1"/>
  <c r="G241" i="1"/>
  <c r="F241" i="1"/>
  <c r="B240" i="1"/>
  <c r="K240" i="1" s="1"/>
  <c r="B239" i="2"/>
  <c r="K239" i="2" s="1"/>
  <c r="G240" i="2"/>
  <c r="F240" i="2" s="1"/>
  <c r="B186" i="3" l="1"/>
  <c r="K186" i="3" s="1"/>
  <c r="G187" i="3"/>
  <c r="F187" i="3" s="1"/>
  <c r="G241" i="2"/>
  <c r="B240" i="2"/>
  <c r="K240" i="2" s="1"/>
  <c r="F241" i="2"/>
  <c r="B241" i="1"/>
  <c r="K241" i="1" s="1"/>
  <c r="G242" i="1"/>
  <c r="F242" i="1"/>
  <c r="B187" i="3" l="1"/>
  <c r="K187" i="3" s="1"/>
  <c r="G188" i="3"/>
  <c r="F188" i="3" s="1"/>
  <c r="G243" i="1"/>
  <c r="F243" i="1"/>
  <c r="B242" i="1"/>
  <c r="K242" i="1" s="1"/>
  <c r="B241" i="2"/>
  <c r="K241" i="2" s="1"/>
  <c r="G242" i="2"/>
  <c r="F242" i="2"/>
  <c r="B188" i="3" l="1"/>
  <c r="K188" i="3" s="1"/>
  <c r="G189" i="3"/>
  <c r="F189" i="3" s="1"/>
  <c r="G243" i="2"/>
  <c r="F243" i="2"/>
  <c r="B242" i="2"/>
  <c r="K242" i="2" s="1"/>
  <c r="B243" i="1"/>
  <c r="K243" i="1" s="1"/>
  <c r="G244" i="1"/>
  <c r="F244" i="1" s="1"/>
  <c r="B189" i="3" l="1"/>
  <c r="K189" i="3" s="1"/>
  <c r="G190" i="3"/>
  <c r="F190" i="3" s="1"/>
  <c r="B244" i="1"/>
  <c r="K244" i="1" s="1"/>
  <c r="G245" i="1"/>
  <c r="F245" i="1" s="1"/>
  <c r="B243" i="2"/>
  <c r="K243" i="2" s="1"/>
  <c r="G244" i="2"/>
  <c r="F244" i="2" s="1"/>
  <c r="B190" i="3" l="1"/>
  <c r="K190" i="3" s="1"/>
  <c r="G191" i="3"/>
  <c r="F191" i="3" s="1"/>
  <c r="B244" i="2"/>
  <c r="K244" i="2" s="1"/>
  <c r="G245" i="2"/>
  <c r="F245" i="2"/>
  <c r="G246" i="1"/>
  <c r="F246" i="1" s="1"/>
  <c r="B245" i="1"/>
  <c r="K245" i="1" s="1"/>
  <c r="B191" i="3" l="1"/>
  <c r="K191" i="3" s="1"/>
  <c r="G192" i="3"/>
  <c r="F192" i="3" s="1"/>
  <c r="B246" i="1"/>
  <c r="K246" i="1" s="1"/>
  <c r="G247" i="1"/>
  <c r="F247" i="1" s="1"/>
  <c r="G246" i="2"/>
  <c r="F246" i="2" s="1"/>
  <c r="B245" i="2"/>
  <c r="K245" i="2" s="1"/>
  <c r="B192" i="3" l="1"/>
  <c r="K192" i="3" s="1"/>
  <c r="G193" i="3"/>
  <c r="F193" i="3" s="1"/>
  <c r="G247" i="2"/>
  <c r="F247" i="2" s="1"/>
  <c r="B246" i="2"/>
  <c r="K246" i="2" s="1"/>
  <c r="G248" i="1"/>
  <c r="F248" i="1" s="1"/>
  <c r="B247" i="1"/>
  <c r="K247" i="1" s="1"/>
  <c r="B193" i="3" l="1"/>
  <c r="K193" i="3" s="1"/>
  <c r="G194" i="3"/>
  <c r="F194" i="3" s="1"/>
  <c r="G248" i="2"/>
  <c r="F248" i="2" s="1"/>
  <c r="B247" i="2"/>
  <c r="K247" i="2" s="1"/>
  <c r="B248" i="1"/>
  <c r="K248" i="1" s="1"/>
  <c r="G249" i="1"/>
  <c r="F249" i="1" s="1"/>
  <c r="B194" i="3" l="1"/>
  <c r="K194" i="3" s="1"/>
  <c r="G195" i="3"/>
  <c r="F195" i="3" s="1"/>
  <c r="G250" i="1"/>
  <c r="F250" i="1" s="1"/>
  <c r="B249" i="1"/>
  <c r="K249" i="1" s="1"/>
  <c r="B248" i="2"/>
  <c r="K248" i="2" s="1"/>
  <c r="G249" i="2"/>
  <c r="F249" i="2" s="1"/>
  <c r="B195" i="3" l="1"/>
  <c r="K195" i="3" s="1"/>
  <c r="G196" i="3"/>
  <c r="F196" i="3" s="1"/>
  <c r="B249" i="2"/>
  <c r="K249" i="2" s="1"/>
  <c r="G250" i="2"/>
  <c r="F250" i="2"/>
  <c r="B250" i="1"/>
  <c r="K250" i="1" s="1"/>
  <c r="G251" i="1"/>
  <c r="F251" i="1" s="1"/>
  <c r="B196" i="3" l="1"/>
  <c r="K196" i="3" s="1"/>
  <c r="G197" i="3"/>
  <c r="F197" i="3" s="1"/>
  <c r="B251" i="1"/>
  <c r="K251" i="1" s="1"/>
  <c r="G252" i="1"/>
  <c r="F252" i="1" s="1"/>
  <c r="G251" i="2"/>
  <c r="F251" i="2" s="1"/>
  <c r="B250" i="2"/>
  <c r="K250" i="2" s="1"/>
  <c r="B197" i="3" l="1"/>
  <c r="K197" i="3" s="1"/>
  <c r="G198" i="3"/>
  <c r="F198" i="3" s="1"/>
  <c r="B251" i="2"/>
  <c r="K251" i="2" s="1"/>
  <c r="G252" i="2"/>
  <c r="F252" i="2"/>
  <c r="G253" i="1"/>
  <c r="F253" i="1" s="1"/>
  <c r="B252" i="1"/>
  <c r="K252" i="1" s="1"/>
  <c r="B198" i="3" l="1"/>
  <c r="K198" i="3" s="1"/>
  <c r="G199" i="3"/>
  <c r="F199" i="3" s="1"/>
  <c r="B253" i="1"/>
  <c r="K253" i="1" s="1"/>
  <c r="G254" i="1"/>
  <c r="F254" i="1" s="1"/>
  <c r="G253" i="2"/>
  <c r="F253" i="2" s="1"/>
  <c r="B252" i="2"/>
  <c r="K252" i="2" s="1"/>
  <c r="B199" i="3" l="1"/>
  <c r="K199" i="3" s="1"/>
  <c r="G200" i="3"/>
  <c r="F200" i="3" s="1"/>
  <c r="G255" i="1"/>
  <c r="F255" i="1" s="1"/>
  <c r="B254" i="1"/>
  <c r="K254" i="1" s="1"/>
  <c r="B253" i="2"/>
  <c r="K253" i="2" s="1"/>
  <c r="G254" i="2"/>
  <c r="F254" i="2" s="1"/>
  <c r="B200" i="3" l="1"/>
  <c r="K200" i="3" s="1"/>
  <c r="G201" i="3"/>
  <c r="F201" i="3" s="1"/>
  <c r="G255" i="2"/>
  <c r="F255" i="2"/>
  <c r="B254" i="2"/>
  <c r="K254" i="2" s="1"/>
  <c r="G256" i="1"/>
  <c r="F256" i="1" s="1"/>
  <c r="B255" i="1"/>
  <c r="K255" i="1" s="1"/>
  <c r="B201" i="3" l="1"/>
  <c r="K201" i="3" s="1"/>
  <c r="G202" i="3"/>
  <c r="F202" i="3" s="1"/>
  <c r="B256" i="1"/>
  <c r="K256" i="1" s="1"/>
  <c r="G257" i="1"/>
  <c r="F257" i="1" s="1"/>
  <c r="B255" i="2"/>
  <c r="K255" i="2" s="1"/>
  <c r="G256" i="2"/>
  <c r="F256" i="2" s="1"/>
  <c r="B202" i="3" l="1"/>
  <c r="K202" i="3" s="1"/>
  <c r="G203" i="3"/>
  <c r="F203" i="3" s="1"/>
  <c r="B256" i="2"/>
  <c r="K256" i="2" s="1"/>
  <c r="G257" i="2"/>
  <c r="F257" i="2"/>
  <c r="G258" i="1"/>
  <c r="F258" i="1" s="1"/>
  <c r="B257" i="1"/>
  <c r="K257" i="1" s="1"/>
  <c r="B203" i="3" l="1"/>
  <c r="K203" i="3" s="1"/>
  <c r="G204" i="3"/>
  <c r="F204" i="3" s="1"/>
  <c r="B258" i="1"/>
  <c r="K258" i="1" s="1"/>
  <c r="G259" i="1"/>
  <c r="F259" i="1" s="1"/>
  <c r="G258" i="2"/>
  <c r="F258" i="2" s="1"/>
  <c r="B257" i="2"/>
  <c r="K257" i="2" s="1"/>
  <c r="B204" i="3" l="1"/>
  <c r="K204" i="3" s="1"/>
  <c r="G205" i="3"/>
  <c r="F205" i="3" s="1"/>
  <c r="G259" i="2"/>
  <c r="F259" i="2"/>
  <c r="B258" i="2"/>
  <c r="K258" i="2" s="1"/>
  <c r="G260" i="1"/>
  <c r="F260" i="1" s="1"/>
  <c r="B259" i="1"/>
  <c r="K259" i="1" s="1"/>
  <c r="B205" i="3" l="1"/>
  <c r="K205" i="3" s="1"/>
  <c r="G206" i="3"/>
  <c r="F206" i="3" s="1"/>
  <c r="B260" i="1"/>
  <c r="K260" i="1" s="1"/>
  <c r="G261" i="1"/>
  <c r="F261" i="1" s="1"/>
  <c r="G260" i="2"/>
  <c r="F260" i="2" s="1"/>
  <c r="B259" i="2"/>
  <c r="K259" i="2" s="1"/>
  <c r="B206" i="3" l="1"/>
  <c r="K206" i="3" s="1"/>
  <c r="G207" i="3"/>
  <c r="F207" i="3" s="1"/>
  <c r="B260" i="2"/>
  <c r="K260" i="2" s="1"/>
  <c r="G261" i="2"/>
  <c r="F261" i="2"/>
  <c r="G262" i="1"/>
  <c r="F262" i="1" s="1"/>
  <c r="B261" i="1"/>
  <c r="K261" i="1" s="1"/>
  <c r="B207" i="3" l="1"/>
  <c r="K207" i="3" s="1"/>
  <c r="G208" i="3"/>
  <c r="F208" i="3" s="1"/>
  <c r="B262" i="1"/>
  <c r="K262" i="1" s="1"/>
  <c r="G263" i="1"/>
  <c r="F263" i="1" s="1"/>
  <c r="B261" i="2"/>
  <c r="K261" i="2" s="1"/>
  <c r="G262" i="2"/>
  <c r="F262" i="2" s="1"/>
  <c r="B208" i="3" l="1"/>
  <c r="K208" i="3" s="1"/>
  <c r="G209" i="3"/>
  <c r="F209" i="3" s="1"/>
  <c r="B263" i="1"/>
  <c r="K263" i="1" s="1"/>
  <c r="G264" i="1"/>
  <c r="F264" i="1" s="1"/>
  <c r="G263" i="2"/>
  <c r="F263" i="2"/>
  <c r="B262" i="2"/>
  <c r="K262" i="2" s="1"/>
  <c r="B209" i="3" l="1"/>
  <c r="K209" i="3" s="1"/>
  <c r="G210" i="3"/>
  <c r="F210" i="3" s="1"/>
  <c r="G265" i="1"/>
  <c r="F265" i="1" s="1"/>
  <c r="B264" i="1"/>
  <c r="K264" i="1" s="1"/>
  <c r="B263" i="2"/>
  <c r="K263" i="2" s="1"/>
  <c r="G264" i="2"/>
  <c r="F264" i="2" s="1"/>
  <c r="B210" i="3" l="1"/>
  <c r="K210" i="3" s="1"/>
  <c r="G211" i="3"/>
  <c r="F211" i="3" s="1"/>
  <c r="G265" i="2"/>
  <c r="F265" i="2"/>
  <c r="B264" i="2"/>
  <c r="K264" i="2" s="1"/>
  <c r="B265" i="1"/>
  <c r="K265" i="1" s="1"/>
  <c r="G266" i="1"/>
  <c r="F266" i="1" s="1"/>
  <c r="B211" i="3" l="1"/>
  <c r="K211" i="3" s="1"/>
  <c r="G212" i="3"/>
  <c r="F212" i="3" s="1"/>
  <c r="G267" i="1"/>
  <c r="F267" i="1"/>
  <c r="B266" i="1"/>
  <c r="K266" i="1" s="1"/>
  <c r="B265" i="2"/>
  <c r="K265" i="2" s="1"/>
  <c r="G266" i="2"/>
  <c r="F266" i="2" s="1"/>
  <c r="B212" i="3" l="1"/>
  <c r="K212" i="3" s="1"/>
  <c r="G213" i="3"/>
  <c r="F213" i="3" s="1"/>
  <c r="G267" i="2"/>
  <c r="F267" i="2"/>
  <c r="B266" i="2"/>
  <c r="K266" i="2" s="1"/>
  <c r="G268" i="1"/>
  <c r="F268" i="1" s="1"/>
  <c r="B267" i="1"/>
  <c r="K267" i="1" s="1"/>
  <c r="B213" i="3" l="1"/>
  <c r="K213" i="3" s="1"/>
  <c r="G214" i="3"/>
  <c r="F214" i="3" s="1"/>
  <c r="B268" i="1"/>
  <c r="K268" i="1" s="1"/>
  <c r="G269" i="1"/>
  <c r="F269" i="1" s="1"/>
  <c r="B267" i="2"/>
  <c r="K267" i="2" s="1"/>
  <c r="G268" i="2"/>
  <c r="F268" i="2" s="1"/>
  <c r="B214" i="3" l="1"/>
  <c r="K214" i="3" s="1"/>
  <c r="G215" i="3"/>
  <c r="F215" i="3" s="1"/>
  <c r="B268" i="2"/>
  <c r="K268" i="2" s="1"/>
  <c r="G269" i="2"/>
  <c r="F269" i="2"/>
  <c r="G270" i="1"/>
  <c r="F270" i="1" s="1"/>
  <c r="B269" i="1"/>
  <c r="K269" i="1" s="1"/>
  <c r="B215" i="3" l="1"/>
  <c r="K215" i="3" s="1"/>
  <c r="G216" i="3"/>
  <c r="F216" i="3" s="1"/>
  <c r="B270" i="1"/>
  <c r="K270" i="1" s="1"/>
  <c r="G271" i="1"/>
  <c r="F271" i="1" s="1"/>
  <c r="G270" i="2"/>
  <c r="F270" i="2" s="1"/>
  <c r="B269" i="2"/>
  <c r="K269" i="2" s="1"/>
  <c r="B216" i="3" l="1"/>
  <c r="K216" i="3" s="1"/>
  <c r="G217" i="3"/>
  <c r="F217" i="3" s="1"/>
  <c r="B270" i="2"/>
  <c r="K270" i="2" s="1"/>
  <c r="G271" i="2"/>
  <c r="F271" i="2"/>
  <c r="G272" i="1"/>
  <c r="F272" i="1" s="1"/>
  <c r="B271" i="1"/>
  <c r="K271" i="1" s="1"/>
  <c r="B217" i="3" l="1"/>
  <c r="K217" i="3" s="1"/>
  <c r="G218" i="3"/>
  <c r="F218" i="3" s="1"/>
  <c r="B272" i="1"/>
  <c r="K272" i="1" s="1"/>
  <c r="G273" i="1"/>
  <c r="F273" i="1"/>
  <c r="G272" i="2"/>
  <c r="F272" i="2" s="1"/>
  <c r="B271" i="2"/>
  <c r="K271" i="2" s="1"/>
  <c r="B218" i="3" l="1"/>
  <c r="K218" i="3" s="1"/>
  <c r="G219" i="3"/>
  <c r="F219" i="3" s="1"/>
  <c r="B272" i="2"/>
  <c r="K272" i="2" s="1"/>
  <c r="G273" i="2"/>
  <c r="F273" i="2"/>
  <c r="G274" i="1"/>
  <c r="F274" i="1" s="1"/>
  <c r="B273" i="1"/>
  <c r="K273" i="1" s="1"/>
  <c r="B219" i="3" l="1"/>
  <c r="K219" i="3" s="1"/>
  <c r="G220" i="3"/>
  <c r="F220" i="3" s="1"/>
  <c r="B274" i="1"/>
  <c r="K274" i="1" s="1"/>
  <c r="G275" i="1"/>
  <c r="F275" i="1" s="1"/>
  <c r="B273" i="2"/>
  <c r="K273" i="2" s="1"/>
  <c r="G274" i="2"/>
  <c r="F274" i="2" s="1"/>
  <c r="B220" i="3" l="1"/>
  <c r="K220" i="3" s="1"/>
  <c r="G221" i="3"/>
  <c r="F221" i="3" s="1"/>
  <c r="G275" i="2"/>
  <c r="F275" i="2"/>
  <c r="B274" i="2"/>
  <c r="K274" i="2" s="1"/>
  <c r="B275" i="1"/>
  <c r="K275" i="1" s="1"/>
  <c r="G276" i="1"/>
  <c r="F276" i="1"/>
  <c r="B221" i="3" l="1"/>
  <c r="K221" i="3" s="1"/>
  <c r="G222" i="3"/>
  <c r="F222" i="3" s="1"/>
  <c r="G277" i="1"/>
  <c r="F277" i="1" s="1"/>
  <c r="B276" i="1"/>
  <c r="K276" i="1" s="1"/>
  <c r="B275" i="2"/>
  <c r="K275" i="2" s="1"/>
  <c r="G276" i="2"/>
  <c r="F276" i="2"/>
  <c r="B222" i="3" l="1"/>
  <c r="K222" i="3" s="1"/>
  <c r="G223" i="3"/>
  <c r="F223" i="3" s="1"/>
  <c r="G277" i="2"/>
  <c r="F277" i="2"/>
  <c r="B276" i="2"/>
  <c r="K276" i="2" s="1"/>
  <c r="B277" i="1"/>
  <c r="K277" i="1" s="1"/>
  <c r="G278" i="1"/>
  <c r="F278" i="1" s="1"/>
  <c r="B223" i="3" l="1"/>
  <c r="K223" i="3" s="1"/>
  <c r="G224" i="3"/>
  <c r="F224" i="3" s="1"/>
  <c r="G279" i="1"/>
  <c r="F279" i="1"/>
  <c r="B278" i="1"/>
  <c r="K278" i="1" s="1"/>
  <c r="B277" i="2"/>
  <c r="K277" i="2" s="1"/>
  <c r="G278" i="2"/>
  <c r="F278" i="2"/>
  <c r="B224" i="3" l="1"/>
  <c r="K224" i="3" s="1"/>
  <c r="G225" i="3"/>
  <c r="F225" i="3" s="1"/>
  <c r="G279" i="2"/>
  <c r="F279" i="2"/>
  <c r="B278" i="2"/>
  <c r="K278" i="2" s="1"/>
  <c r="B279" i="1"/>
  <c r="K279" i="1" s="1"/>
  <c r="G280" i="1"/>
  <c r="F280" i="1"/>
  <c r="B225" i="3" l="1"/>
  <c r="K225" i="3" s="1"/>
  <c r="G226" i="3"/>
  <c r="F226" i="3" s="1"/>
  <c r="B280" i="1"/>
  <c r="K280" i="1" s="1"/>
  <c r="G281" i="1"/>
  <c r="F281" i="1" s="1"/>
  <c r="B279" i="2"/>
  <c r="K279" i="2" s="1"/>
  <c r="G280" i="2"/>
  <c r="F280" i="2" s="1"/>
  <c r="B226" i="3" l="1"/>
  <c r="K226" i="3" s="1"/>
  <c r="G227" i="3"/>
  <c r="F227" i="3" s="1"/>
  <c r="B280" i="2"/>
  <c r="K280" i="2" s="1"/>
  <c r="G281" i="2"/>
  <c r="F281" i="2"/>
  <c r="G282" i="1"/>
  <c r="F282" i="1" s="1"/>
  <c r="B281" i="1"/>
  <c r="K281" i="1" s="1"/>
  <c r="B227" i="3" l="1"/>
  <c r="K227" i="3" s="1"/>
  <c r="G228" i="3"/>
  <c r="F228" i="3" s="1"/>
  <c r="B282" i="1"/>
  <c r="K282" i="1" s="1"/>
  <c r="G283" i="1"/>
  <c r="F283" i="1" s="1"/>
  <c r="G282" i="2"/>
  <c r="F282" i="2" s="1"/>
  <c r="B281" i="2"/>
  <c r="K281" i="2" s="1"/>
  <c r="B228" i="3" l="1"/>
  <c r="K228" i="3" s="1"/>
  <c r="G229" i="3"/>
  <c r="F229" i="3" s="1"/>
  <c r="B282" i="2"/>
  <c r="K282" i="2" s="1"/>
  <c r="G283" i="2"/>
  <c r="F283" i="2"/>
  <c r="G284" i="1"/>
  <c r="F284" i="1" s="1"/>
  <c r="B283" i="1"/>
  <c r="K283" i="1" s="1"/>
  <c r="B229" i="3" l="1"/>
  <c r="K229" i="3" s="1"/>
  <c r="G230" i="3"/>
  <c r="F230" i="3" s="1"/>
  <c r="B284" i="1"/>
  <c r="K284" i="1" s="1"/>
  <c r="G285" i="1"/>
  <c r="F285" i="1" s="1"/>
  <c r="G284" i="2"/>
  <c r="F284" i="2" s="1"/>
  <c r="B283" i="2"/>
  <c r="K283" i="2" s="1"/>
  <c r="B230" i="3" l="1"/>
  <c r="K230" i="3" s="1"/>
  <c r="G231" i="3"/>
  <c r="F231" i="3" s="1"/>
  <c r="B284" i="2"/>
  <c r="K284" i="2" s="1"/>
  <c r="G285" i="2"/>
  <c r="F285" i="2" s="1"/>
  <c r="G286" i="1"/>
  <c r="F286" i="1" s="1"/>
  <c r="B285" i="1"/>
  <c r="K285" i="1" s="1"/>
  <c r="B231" i="3" l="1"/>
  <c r="K231" i="3" s="1"/>
  <c r="G232" i="3"/>
  <c r="F232" i="3" s="1"/>
  <c r="B286" i="1"/>
  <c r="K286" i="1" s="1"/>
  <c r="G287" i="1"/>
  <c r="F287" i="1" s="1"/>
  <c r="B285" i="2"/>
  <c r="K285" i="2" s="1"/>
  <c r="G286" i="2"/>
  <c r="F286" i="2" s="1"/>
  <c r="B232" i="3" l="1"/>
  <c r="K232" i="3" s="1"/>
  <c r="G233" i="3"/>
  <c r="F233" i="3" s="1"/>
  <c r="G287" i="2"/>
  <c r="F287" i="2"/>
  <c r="B286" i="2"/>
  <c r="K286" i="2" s="1"/>
  <c r="B287" i="1"/>
  <c r="K287" i="1" s="1"/>
  <c r="G288" i="1"/>
  <c r="F288" i="1" s="1"/>
  <c r="B233" i="3" l="1"/>
  <c r="K233" i="3" s="1"/>
  <c r="G234" i="3"/>
  <c r="F234" i="3" s="1"/>
  <c r="G289" i="1"/>
  <c r="F289" i="1" s="1"/>
  <c r="B288" i="1"/>
  <c r="K288" i="1" s="1"/>
  <c r="B287" i="2"/>
  <c r="K287" i="2" s="1"/>
  <c r="G288" i="2"/>
  <c r="F288" i="2" s="1"/>
  <c r="B234" i="3" l="1"/>
  <c r="K234" i="3" s="1"/>
  <c r="G235" i="3"/>
  <c r="F235" i="3" s="1"/>
  <c r="G289" i="2"/>
  <c r="F289" i="2"/>
  <c r="B288" i="2"/>
  <c r="K288" i="2" s="1"/>
  <c r="B289" i="1"/>
  <c r="K289" i="1" s="1"/>
  <c r="G290" i="1"/>
  <c r="F290" i="1" s="1"/>
  <c r="B235" i="3" l="1"/>
  <c r="K235" i="3" s="1"/>
  <c r="G236" i="3"/>
  <c r="F236" i="3" s="1"/>
  <c r="G291" i="1"/>
  <c r="F291" i="1"/>
  <c r="B290" i="1"/>
  <c r="K290" i="1" s="1"/>
  <c r="B289" i="2"/>
  <c r="K289" i="2" s="1"/>
  <c r="G290" i="2"/>
  <c r="F290" i="2" s="1"/>
  <c r="B236" i="3" l="1"/>
  <c r="K236" i="3" s="1"/>
  <c r="G237" i="3"/>
  <c r="F237" i="3" s="1"/>
  <c r="G291" i="2"/>
  <c r="F291" i="2"/>
  <c r="B290" i="2"/>
  <c r="K290" i="2" s="1"/>
  <c r="G292" i="1"/>
  <c r="F292" i="1" s="1"/>
  <c r="B291" i="1"/>
  <c r="K291" i="1" s="1"/>
  <c r="B237" i="3" l="1"/>
  <c r="K237" i="3" s="1"/>
  <c r="G238" i="3"/>
  <c r="F238" i="3" s="1"/>
  <c r="B292" i="1"/>
  <c r="K292" i="1" s="1"/>
  <c r="G293" i="1"/>
  <c r="F293" i="1" s="1"/>
  <c r="B291" i="2"/>
  <c r="K291" i="2" s="1"/>
  <c r="G292" i="2"/>
  <c r="F292" i="2" s="1"/>
  <c r="B238" i="3" l="1"/>
  <c r="K238" i="3" s="1"/>
  <c r="G239" i="3"/>
  <c r="F239" i="3" s="1"/>
  <c r="B292" i="2"/>
  <c r="K292" i="2" s="1"/>
  <c r="G293" i="2"/>
  <c r="F293" i="2"/>
  <c r="G294" i="1"/>
  <c r="F294" i="1" s="1"/>
  <c r="B293" i="1"/>
  <c r="K293" i="1" s="1"/>
  <c r="B239" i="3" l="1"/>
  <c r="K239" i="3" s="1"/>
  <c r="G240" i="3"/>
  <c r="F240" i="3" s="1"/>
  <c r="B294" i="1"/>
  <c r="K294" i="1" s="1"/>
  <c r="G295" i="1"/>
  <c r="F295" i="1"/>
  <c r="G294" i="2"/>
  <c r="F294" i="2" s="1"/>
  <c r="B293" i="2"/>
  <c r="K293" i="2" s="1"/>
  <c r="B240" i="3" l="1"/>
  <c r="K240" i="3" s="1"/>
  <c r="G241" i="3"/>
  <c r="F241" i="3" s="1"/>
  <c r="B294" i="2"/>
  <c r="K294" i="2" s="1"/>
  <c r="G295" i="2"/>
  <c r="F295" i="2"/>
  <c r="G296" i="1"/>
  <c r="F296" i="1" s="1"/>
  <c r="B295" i="1"/>
  <c r="K295" i="1" s="1"/>
  <c r="B241" i="3" l="1"/>
  <c r="K241" i="3" s="1"/>
  <c r="G242" i="3"/>
  <c r="F242" i="3" s="1"/>
  <c r="B296" i="1"/>
  <c r="K296" i="1" s="1"/>
  <c r="G297" i="1"/>
  <c r="F297" i="1" s="1"/>
  <c r="G296" i="2"/>
  <c r="F296" i="2"/>
  <c r="B295" i="2"/>
  <c r="K295" i="2" s="1"/>
  <c r="B242" i="3" l="1"/>
  <c r="K242" i="3" s="1"/>
  <c r="G243" i="3"/>
  <c r="F243" i="3" s="1"/>
  <c r="G298" i="1"/>
  <c r="F298" i="1" s="1"/>
  <c r="B297" i="1"/>
  <c r="K297" i="1" s="1"/>
  <c r="B296" i="2"/>
  <c r="K296" i="2" s="1"/>
  <c r="G297" i="2"/>
  <c r="F297" i="2" s="1"/>
  <c r="B243" i="3" l="1"/>
  <c r="K243" i="3" s="1"/>
  <c r="G244" i="3"/>
  <c r="F244" i="3" s="1"/>
  <c r="B297" i="2"/>
  <c r="K297" i="2" s="1"/>
  <c r="G298" i="2"/>
  <c r="F298" i="2"/>
  <c r="B298" i="1"/>
  <c r="K298" i="1" s="1"/>
  <c r="G299" i="1"/>
  <c r="F299" i="1" s="1"/>
  <c r="B244" i="3" l="1"/>
  <c r="K244" i="3" s="1"/>
  <c r="G245" i="3"/>
  <c r="F245" i="3" s="1"/>
  <c r="B299" i="1"/>
  <c r="K299" i="1" s="1"/>
  <c r="G300" i="1"/>
  <c r="F300" i="1"/>
  <c r="G299" i="2"/>
  <c r="F299" i="2" s="1"/>
  <c r="B298" i="2"/>
  <c r="K298" i="2" s="1"/>
  <c r="B245" i="3" l="1"/>
  <c r="K245" i="3" s="1"/>
  <c r="G246" i="3"/>
  <c r="F246" i="3" s="1"/>
  <c r="B246" i="3" s="1"/>
  <c r="K246" i="3" s="1"/>
  <c r="B299" i="2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 s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 s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 s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 s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 s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 s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 s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 s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 s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 s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 s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 s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 s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 s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 s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 s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 s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 s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 s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 s="1"/>
  <c r="G380" i="1" l="1"/>
  <c r="F380" i="1" s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 s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 s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 s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 s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 s="1"/>
  <c r="G392" i="1" l="1"/>
  <c r="F392" i="1" s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 s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 s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 s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 s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 s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 s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 s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 s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 s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 s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 s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 s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 s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 s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 s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 s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 s="1"/>
  <c r="G542" i="2"/>
  <c r="F542" i="2" s="1"/>
  <c r="B541" i="2"/>
  <c r="K541" i="2" s="1"/>
  <c r="B542" i="2" l="1"/>
  <c r="K542" i="2" s="1"/>
  <c r="G543" i="2"/>
  <c r="F543" i="2" s="1"/>
  <c r="G544" i="1"/>
  <c r="F544" i="1" s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 s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 s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 s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 s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 s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 s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 s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 s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 s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 s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 s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 s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 s="1"/>
  <c r="B620" i="2"/>
  <c r="K620" i="2" s="1"/>
  <c r="G621" i="2"/>
  <c r="F621" i="2" s="1"/>
  <c r="B621" i="2" l="1"/>
  <c r="K621" i="2" s="1"/>
  <c r="G622" i="2"/>
  <c r="F622" i="2" s="1"/>
  <c r="G623" i="1"/>
  <c r="F623" i="1" s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 s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 s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 s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 s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 s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 s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 s="1"/>
  <c r="B656" i="2"/>
  <c r="K656" i="2" s="1"/>
  <c r="G657" i="2"/>
  <c r="F657" i="2" s="1"/>
  <c r="B657" i="2" l="1"/>
  <c r="K657" i="2" s="1"/>
  <c r="G658" i="2"/>
  <c r="F658" i="2" s="1"/>
  <c r="G659" i="1"/>
  <c r="F659" i="1" s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 s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 s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 s="1"/>
  <c r="G671" i="1" l="1"/>
  <c r="F671" i="1" s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 s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 s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 s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 s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 s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 s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 s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 s="1"/>
  <c r="B699" i="1"/>
  <c r="K699" i="1" s="1"/>
  <c r="B700" i="1" l="1"/>
  <c r="K700" i="1" s="1"/>
  <c r="G701" i="1"/>
  <c r="F701" i="1" s="1"/>
  <c r="B699" i="2"/>
  <c r="K699" i="2" s="1"/>
  <c r="G700" i="2"/>
  <c r="F700" i="2" s="1"/>
  <c r="G701" i="2" l="1"/>
  <c r="F701" i="2" s="1"/>
  <c r="B700" i="2"/>
  <c r="K700" i="2" s="1"/>
  <c r="G702" i="1"/>
  <c r="F702" i="1" s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 s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 s="1"/>
  <c r="G707" i="1" l="1"/>
  <c r="F707" i="1" s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 s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 s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 s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 s="1"/>
  <c r="G719" i="1" l="1"/>
  <c r="F719" i="1" s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 s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 s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 s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 s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 s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 s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l="1"/>
  <c r="K843" i="1" s="1"/>
  <c r="G844" i="1"/>
  <c r="F844" i="1" s="1"/>
  <c r="B844" i="1" l="1"/>
  <c r="K844" i="1" s="1"/>
  <c r="G845" i="1"/>
  <c r="F845" i="1" s="1"/>
  <c r="B845" i="1" l="1"/>
  <c r="K845" i="1" s="1"/>
  <c r="G846" i="1"/>
  <c r="F846" i="1" s="1"/>
  <c r="B846" i="1" l="1"/>
  <c r="K846" i="1" s="1"/>
  <c r="G847" i="1"/>
  <c r="F847" i="1" s="1"/>
  <c r="B847" i="1" l="1"/>
  <c r="K847" i="1" s="1"/>
  <c r="G848" i="1"/>
  <c r="F848" i="1" s="1"/>
  <c r="B848" i="1" l="1"/>
  <c r="K848" i="1" s="1"/>
  <c r="G849" i="1"/>
  <c r="F849" i="1" s="1"/>
  <c r="B849" i="1" l="1"/>
  <c r="K849" i="1" s="1"/>
  <c r="G850" i="1"/>
  <c r="F850" i="1" s="1"/>
  <c r="B850" i="1" l="1"/>
  <c r="K850" i="1" s="1"/>
  <c r="G851" i="1"/>
  <c r="F851" i="1" s="1"/>
  <c r="B851" i="1" l="1"/>
  <c r="K851" i="1" s="1"/>
  <c r="G852" i="1"/>
  <c r="F852" i="1" s="1"/>
  <c r="B852" i="1" l="1"/>
  <c r="K852" i="1" s="1"/>
  <c r="G853" i="1"/>
  <c r="F853" i="1" s="1"/>
  <c r="B853" i="1" l="1"/>
  <c r="K853" i="1" s="1"/>
  <c r="G854" i="1"/>
  <c r="F854" i="1" s="1"/>
  <c r="B854" i="1" l="1"/>
  <c r="K854" i="1" s="1"/>
  <c r="G855" i="1"/>
  <c r="F855" i="1" s="1"/>
  <c r="B855" i="1" l="1"/>
  <c r="K855" i="1" s="1"/>
  <c r="G856" i="1"/>
  <c r="F856" i="1" s="1"/>
  <c r="B856" i="1" l="1"/>
  <c r="K856" i="1" s="1"/>
  <c r="G857" i="1"/>
  <c r="F857" i="1" s="1"/>
  <c r="B857" i="1" l="1"/>
  <c r="K857" i="1" s="1"/>
  <c r="G858" i="1"/>
  <c r="F858" i="1" s="1"/>
  <c r="B858" i="1" l="1"/>
  <c r="K858" i="1" s="1"/>
  <c r="G859" i="1"/>
  <c r="F859" i="1" s="1"/>
  <c r="B859" i="1" l="1"/>
  <c r="K859" i="1" s="1"/>
  <c r="G860" i="1"/>
  <c r="F860" i="1" s="1"/>
  <c r="B860" i="1" l="1"/>
  <c r="K860" i="1" s="1"/>
  <c r="G861" i="1"/>
  <c r="F861" i="1" s="1"/>
  <c r="B861" i="1" l="1"/>
  <c r="K861" i="1" s="1"/>
  <c r="G862" i="1"/>
  <c r="F862" i="1" s="1"/>
  <c r="B862" i="1" l="1"/>
  <c r="K862" i="1" s="1"/>
  <c r="G863" i="1"/>
  <c r="F863" i="1" s="1"/>
  <c r="B863" i="1" l="1"/>
  <c r="K863" i="1" s="1"/>
  <c r="G864" i="1"/>
  <c r="F864" i="1" s="1"/>
  <c r="B864" i="1" l="1"/>
  <c r="K864" i="1" s="1"/>
  <c r="G865" i="1"/>
  <c r="F865" i="1" s="1"/>
  <c r="B865" i="1" l="1"/>
  <c r="K865" i="1" s="1"/>
  <c r="G866" i="1"/>
  <c r="F866" i="1" s="1"/>
  <c r="B866" i="1" l="1"/>
  <c r="K866" i="1" s="1"/>
  <c r="G867" i="1"/>
  <c r="F867" i="1" s="1"/>
  <c r="B867" i="1" l="1"/>
  <c r="K867" i="1" s="1"/>
  <c r="G868" i="1"/>
  <c r="F868" i="1" s="1"/>
  <c r="B868" i="1" l="1"/>
  <c r="K868" i="1" s="1"/>
  <c r="G869" i="1"/>
  <c r="F869" i="1" s="1"/>
  <c r="B869" i="1" l="1"/>
  <c r="K869" i="1" s="1"/>
  <c r="G870" i="1"/>
  <c r="F870" i="1" s="1"/>
  <c r="B870" i="1" l="1"/>
  <c r="K870" i="1" s="1"/>
  <c r="G871" i="1"/>
  <c r="F871" i="1" s="1"/>
  <c r="B871" i="1" l="1"/>
  <c r="K871" i="1" s="1"/>
  <c r="G872" i="1"/>
  <c r="F872" i="1" s="1"/>
  <c r="B872" i="1" l="1"/>
  <c r="K872" i="1" s="1"/>
  <c r="G873" i="1"/>
  <c r="F873" i="1" s="1"/>
  <c r="B873" i="1" l="1"/>
  <c r="K873" i="1" s="1"/>
  <c r="G874" i="1"/>
  <c r="F874" i="1" s="1"/>
  <c r="B874" i="1" l="1"/>
  <c r="K874" i="1" s="1"/>
  <c r="G875" i="1"/>
  <c r="F875" i="1" s="1"/>
  <c r="B875" i="1" l="1"/>
  <c r="K875" i="1" s="1"/>
  <c r="G876" i="1"/>
  <c r="F876" i="1" s="1"/>
  <c r="B876" i="1" l="1"/>
  <c r="K876" i="1" s="1"/>
  <c r="G877" i="1"/>
  <c r="F877" i="1" s="1"/>
  <c r="B877" i="1" l="1"/>
  <c r="K877" i="1" s="1"/>
  <c r="G878" i="1"/>
  <c r="F878" i="1" s="1"/>
  <c r="B878" i="1" l="1"/>
  <c r="K878" i="1" s="1"/>
  <c r="G879" i="1"/>
  <c r="F879" i="1" s="1"/>
  <c r="B879" i="1" s="1"/>
  <c r="K879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<sst xmlns="http://schemas.openxmlformats.org/spreadsheetml/2006/main" count="33" uniqueCount="11">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</sst>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6861769757533843E-2"/>
          <c:y val="0.11404687266756232"/>
          <c:w val="0.89391715553969353"/>
          <c:h val="0.66957272974107074"/>
        </c:manualLayout>
      </c:layout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  <c:pt idx="882">
                  <c:v>45380</c:v>
                </c:pt>
                <c:pt idx="883">
                  <c:v>45385</c:v>
                </c:pt>
                <c:pt idx="884">
                  <c:v>45392</c:v>
                </c:pt>
                <c:pt idx="885">
                  <c:v>45393</c:v>
                </c:pt>
                <c:pt idx="886">
                  <c:v>45397</c:v>
                </c:pt>
                <c:pt idx="887">
                  <c:v>45398</c:v>
                </c:pt>
                <c:pt idx="888">
                  <c:v>45400</c:v>
                </c:pt>
                <c:pt idx="889">
                  <c:v>45401</c:v>
                </c:pt>
                <c:pt idx="890">
                  <c:v>45404</c:v>
                </c:pt>
                <c:pt idx="891">
                  <c:v>45405</c:v>
                </c:pt>
                <c:pt idx="892">
                  <c:v>45406</c:v>
                </c:pt>
                <c:pt idx="893">
                  <c:v>45407</c:v>
                </c:pt>
                <c:pt idx="894">
                  <c:v>45408</c:v>
                </c:pt>
                <c:pt idx="895">
                  <c:v>45411</c:v>
                </c:pt>
                <c:pt idx="896">
                  <c:v>45412</c:v>
                </c:pt>
                <c:pt idx="897">
                  <c:v>45418</c:v>
                </c:pt>
                <c:pt idx="898">
                  <c:v>45419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  <c:pt idx="871">
                  <c:v>1.5506762978090154</c:v>
                </c:pt>
                <c:pt idx="872">
                  <c:v>1.5401137784151087</c:v>
                </c:pt>
                <c:pt idx="873">
                  <c:v>1.5469408361976247</c:v>
                </c:pt>
                <c:pt idx="874">
                  <c:v>1.5522819352770842</c:v>
                </c:pt>
                <c:pt idx="875">
                  <c:v>1.5388823344471456</c:v>
                </c:pt>
                <c:pt idx="876">
                  <c:v>1.5328173604100452</c:v>
                </c:pt>
                <c:pt idx="877">
                  <c:v>1.5212744382571071</c:v>
                </c:pt>
                <c:pt idx="878">
                  <c:v>1.5021593474881623</c:v>
                </c:pt>
                <c:pt idx="879">
                  <c:v>1.4914481769633068</c:v>
                </c:pt>
                <c:pt idx="880">
                  <c:v>1.5022166606698242</c:v>
                </c:pt>
                <c:pt idx="881">
                  <c:v>1.483488394405208</c:v>
                </c:pt>
                <c:pt idx="882">
                  <c:v>1.4972270982266451</c:v>
                </c:pt>
                <c:pt idx="883">
                  <c:v>1.5261162574227656</c:v>
                </c:pt>
                <c:pt idx="884">
                  <c:v>1.486932435066042</c:v>
                </c:pt>
                <c:pt idx="885">
                  <c:v>1.4907176312565609</c:v>
                </c:pt>
                <c:pt idx="886">
                  <c:v>1.5219055148055971</c:v>
                </c:pt>
                <c:pt idx="887">
                  <c:v>1.517421192531337</c:v>
                </c:pt>
                <c:pt idx="888">
                  <c:v>1.5514409866990515</c:v>
                </c:pt>
                <c:pt idx="889">
                  <c:v>1.5517303156395341</c:v>
                </c:pt>
                <c:pt idx="890">
                  <c:v>1.5547424548997189</c:v>
                </c:pt>
                <c:pt idx="891">
                  <c:v>1.5491619588183456</c:v>
                </c:pt>
                <c:pt idx="892">
                  <c:v>1.5483436276322502</c:v>
                </c:pt>
                <c:pt idx="893">
                  <c:v>1.5502537512458687</c:v>
                </c:pt>
                <c:pt idx="894">
                  <c:v>1.5584810347902771</c:v>
                </c:pt>
                <c:pt idx="895">
                  <c:v>1.5739870134619489</c:v>
                </c:pt>
                <c:pt idx="896">
                  <c:v>1.5830583638635574</c:v>
                </c:pt>
                <c:pt idx="897">
                  <c:v>1.6076559025435941</c:v>
                </c:pt>
                <c:pt idx="898">
                  <c:v>1.6083953688970727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  <c:pt idx="882">
                  <c:v>45380</c:v>
                </c:pt>
                <c:pt idx="883">
                  <c:v>45385</c:v>
                </c:pt>
                <c:pt idx="884">
                  <c:v>45392</c:v>
                </c:pt>
                <c:pt idx="885">
                  <c:v>45393</c:v>
                </c:pt>
                <c:pt idx="886">
                  <c:v>45397</c:v>
                </c:pt>
                <c:pt idx="887">
                  <c:v>45398</c:v>
                </c:pt>
                <c:pt idx="888">
                  <c:v>45400</c:v>
                </c:pt>
                <c:pt idx="889">
                  <c:v>45401</c:v>
                </c:pt>
                <c:pt idx="890">
                  <c:v>45404</c:v>
                </c:pt>
                <c:pt idx="891">
                  <c:v>45405</c:v>
                </c:pt>
                <c:pt idx="892">
                  <c:v>45406</c:v>
                </c:pt>
                <c:pt idx="893">
                  <c:v>45407</c:v>
                </c:pt>
                <c:pt idx="894">
                  <c:v>45408</c:v>
                </c:pt>
                <c:pt idx="895">
                  <c:v>45411</c:v>
                </c:pt>
                <c:pt idx="896">
                  <c:v>45412</c:v>
                </c:pt>
                <c:pt idx="897">
                  <c:v>45418</c:v>
                </c:pt>
                <c:pt idx="898">
                  <c:v>45419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  <c:pt idx="871">
                  <c:v>0.95281594643557121</c:v>
                </c:pt>
                <c:pt idx="872">
                  <c:v>0.94616012119799564</c:v>
                </c:pt>
                <c:pt idx="873">
                  <c:v>0.94553241304785407</c:v>
                </c:pt>
                <c:pt idx="874">
                  <c:v>0.95441567522327353</c:v>
                </c:pt>
                <c:pt idx="875">
                  <c:v>0.9475559110508418</c:v>
                </c:pt>
                <c:pt idx="876">
                  <c:v>0.94960854318738019</c:v>
                </c:pt>
                <c:pt idx="877">
                  <c:v>0.94847231197889637</c:v>
                </c:pt>
                <c:pt idx="878">
                  <c:v>0.93891366761661599</c:v>
                </c:pt>
                <c:pt idx="879">
                  <c:v>0.93381784280280966</c:v>
                </c:pt>
                <c:pt idx="880">
                  <c:v>0.93858259791717435</c:v>
                </c:pt>
                <c:pt idx="881">
                  <c:v>0.92773410600586925</c:v>
                </c:pt>
                <c:pt idx="882">
                  <c:v>0.93692195230477482</c:v>
                </c:pt>
                <c:pt idx="883">
                  <c:v>0.9449523789344324</c:v>
                </c:pt>
                <c:pt idx="884">
                  <c:v>0.92824262906421162</c:v>
                </c:pt>
                <c:pt idx="885">
                  <c:v>0.92811814685722149</c:v>
                </c:pt>
                <c:pt idx="886">
                  <c:v>0.93999427911559363</c:v>
                </c:pt>
                <c:pt idx="887">
                  <c:v>0.92993770592535308</c:v>
                </c:pt>
                <c:pt idx="888">
                  <c:v>0.94548209045353904</c:v>
                </c:pt>
                <c:pt idx="889">
                  <c:v>0.93802904937970777</c:v>
                </c:pt>
                <c:pt idx="890">
                  <c:v>0.9351792014069138</c:v>
                </c:pt>
                <c:pt idx="891">
                  <c:v>0.9286425612611372</c:v>
                </c:pt>
                <c:pt idx="892">
                  <c:v>0.93272133995825879</c:v>
                </c:pt>
                <c:pt idx="893">
                  <c:v>0.93501499083599082</c:v>
                </c:pt>
                <c:pt idx="894">
                  <c:v>0.94931455329427594</c:v>
                </c:pt>
                <c:pt idx="895">
                  <c:v>0.95981343560297061</c:v>
                </c:pt>
                <c:pt idx="896">
                  <c:v>0.9546434511764893</c:v>
                </c:pt>
                <c:pt idx="897">
                  <c:v>0.9688105857549979</c:v>
                </c:pt>
                <c:pt idx="898">
                  <c:v>0.96910987276329319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  <c:pt idx="871">
                  <c:v>45380</c:v>
                </c:pt>
                <c:pt idx="872">
                  <c:v>45385</c:v>
                </c:pt>
                <c:pt idx="873">
                  <c:v>45392</c:v>
                </c:pt>
                <c:pt idx="874">
                  <c:v>45393</c:v>
                </c:pt>
                <c:pt idx="875">
                  <c:v>45397</c:v>
                </c:pt>
                <c:pt idx="876">
                  <c:v>45398</c:v>
                </c:pt>
                <c:pt idx="877">
                  <c:v>45400</c:v>
                </c:pt>
                <c:pt idx="878">
                  <c:v>45401</c:v>
                </c:pt>
                <c:pt idx="879">
                  <c:v>45404</c:v>
                </c:pt>
                <c:pt idx="880">
                  <c:v>45405</c:v>
                </c:pt>
                <c:pt idx="881">
                  <c:v>45406</c:v>
                </c:pt>
                <c:pt idx="882">
                  <c:v>45407</c:v>
                </c:pt>
                <c:pt idx="883">
                  <c:v>45408</c:v>
                </c:pt>
                <c:pt idx="884">
                  <c:v>45411</c:v>
                </c:pt>
                <c:pt idx="885">
                  <c:v>45412</c:v>
                </c:pt>
                <c:pt idx="886">
                  <c:v>45418</c:v>
                </c:pt>
                <c:pt idx="887">
                  <c:v>45419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  <c:pt idx="860">
                  <c:v>1.5293722963194545</c:v>
                </c:pt>
                <c:pt idx="861">
                  <c:v>1.5175130542629538</c:v>
                </c:pt>
                <c:pt idx="862">
                  <c:v>1.5204815819345274</c:v>
                </c:pt>
                <c:pt idx="863">
                  <c:v>1.5277493223100977</c:v>
                </c:pt>
                <c:pt idx="864">
                  <c:v>1.5133152463785988</c:v>
                </c:pt>
                <c:pt idx="865">
                  <c:v>1.5071123712773664</c:v>
                </c:pt>
                <c:pt idx="866">
                  <c:v>1.4977234622376276</c:v>
                </c:pt>
                <c:pt idx="867">
                  <c:v>1.4766704571295839</c:v>
                </c:pt>
                <c:pt idx="868">
                  <c:v>1.4678084862140763</c:v>
                </c:pt>
                <c:pt idx="869">
                  <c:v>1.4807158902255848</c:v>
                </c:pt>
                <c:pt idx="870">
                  <c:v>1.4619268346726904</c:v>
                </c:pt>
                <c:pt idx="871">
                  <c:v>1.4750225619206769</c:v>
                </c:pt>
                <c:pt idx="872">
                  <c:v>1.5004630550553577</c:v>
                </c:pt>
                <c:pt idx="873">
                  <c:v>1.4603530723879055</c:v>
                </c:pt>
                <c:pt idx="874">
                  <c:v>1.4618259076367819</c:v>
                </c:pt>
                <c:pt idx="875">
                  <c:v>1.489721654933589</c:v>
                </c:pt>
                <c:pt idx="876">
                  <c:v>1.4828649232371029</c:v>
                </c:pt>
                <c:pt idx="877">
                  <c:v>1.512512244813031</c:v>
                </c:pt>
                <c:pt idx="878">
                  <c:v>1.5077609722515493</c:v>
                </c:pt>
                <c:pt idx="879">
                  <c:v>1.5114578907808347</c:v>
                </c:pt>
                <c:pt idx="880">
                  <c:v>1.5042408337037356</c:v>
                </c:pt>
                <c:pt idx="881">
                  <c:v>1.5041877232638969</c:v>
                </c:pt>
                <c:pt idx="882">
                  <c:v>1.5044367823686038</c:v>
                </c:pt>
                <c:pt idx="883">
                  <c:v>1.5180987980091301</c:v>
                </c:pt>
                <c:pt idx="884">
                  <c:v>1.5344788679766708</c:v>
                </c:pt>
                <c:pt idx="885">
                  <c:v>1.5407806060880818</c:v>
                </c:pt>
                <c:pt idx="886">
                  <c:v>1.5650649390325877</c:v>
                </c:pt>
                <c:pt idx="887">
                  <c:v>1.5666833645407994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  <c:pt idx="871">
                  <c:v>45380</c:v>
                </c:pt>
                <c:pt idx="872">
                  <c:v>45385</c:v>
                </c:pt>
                <c:pt idx="873">
                  <c:v>45392</c:v>
                </c:pt>
                <c:pt idx="874">
                  <c:v>45393</c:v>
                </c:pt>
                <c:pt idx="875">
                  <c:v>45397</c:v>
                </c:pt>
                <c:pt idx="876">
                  <c:v>45398</c:v>
                </c:pt>
                <c:pt idx="877">
                  <c:v>45400</c:v>
                </c:pt>
                <c:pt idx="878">
                  <c:v>45401</c:v>
                </c:pt>
                <c:pt idx="879">
                  <c:v>45404</c:v>
                </c:pt>
                <c:pt idx="880">
                  <c:v>45405</c:v>
                </c:pt>
                <c:pt idx="881">
                  <c:v>45406</c:v>
                </c:pt>
                <c:pt idx="882">
                  <c:v>45407</c:v>
                </c:pt>
                <c:pt idx="883">
                  <c:v>45408</c:v>
                </c:pt>
                <c:pt idx="884">
                  <c:v>45411</c:v>
                </c:pt>
                <c:pt idx="885">
                  <c:v>45412</c:v>
                </c:pt>
                <c:pt idx="886">
                  <c:v>45418</c:v>
                </c:pt>
                <c:pt idx="887">
                  <c:v>45419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  <c:pt idx="860">
                  <c:v>0.95281594643557121</c:v>
                </c:pt>
                <c:pt idx="861">
                  <c:v>0.94616012119799564</c:v>
                </c:pt>
                <c:pt idx="862">
                  <c:v>0.94553241304785407</c:v>
                </c:pt>
                <c:pt idx="863">
                  <c:v>0.95441567522327353</c:v>
                </c:pt>
                <c:pt idx="864">
                  <c:v>0.9475559110508418</c:v>
                </c:pt>
                <c:pt idx="865">
                  <c:v>0.94960854318738019</c:v>
                </c:pt>
                <c:pt idx="866">
                  <c:v>0.94847231197889637</c:v>
                </c:pt>
                <c:pt idx="867">
                  <c:v>0.93891366761661599</c:v>
                </c:pt>
                <c:pt idx="868">
                  <c:v>0.93381784280280966</c:v>
                </c:pt>
                <c:pt idx="869">
                  <c:v>0.93858259791717435</c:v>
                </c:pt>
                <c:pt idx="870">
                  <c:v>0.92773410600586925</c:v>
                </c:pt>
                <c:pt idx="871">
                  <c:v>0.93692195230477482</c:v>
                </c:pt>
                <c:pt idx="872">
                  <c:v>0.9449523789344324</c:v>
                </c:pt>
                <c:pt idx="873">
                  <c:v>0.92824262906421162</c:v>
                </c:pt>
                <c:pt idx="874">
                  <c:v>0.92811814685722149</c:v>
                </c:pt>
                <c:pt idx="875">
                  <c:v>0.93999427911559363</c:v>
                </c:pt>
                <c:pt idx="876">
                  <c:v>0.92993770592535308</c:v>
                </c:pt>
                <c:pt idx="877">
                  <c:v>0.94548209045353904</c:v>
                </c:pt>
                <c:pt idx="878">
                  <c:v>0.93802904937970777</c:v>
                </c:pt>
                <c:pt idx="879">
                  <c:v>0.9351792014069138</c:v>
                </c:pt>
                <c:pt idx="880">
                  <c:v>0.9286425612611372</c:v>
                </c:pt>
                <c:pt idx="881">
                  <c:v>0.93272133995825879</c:v>
                </c:pt>
                <c:pt idx="882">
                  <c:v>0.93501499083599082</c:v>
                </c:pt>
                <c:pt idx="883">
                  <c:v>0.94931455329427594</c:v>
                </c:pt>
                <c:pt idx="884">
                  <c:v>0.95981343560297061</c:v>
                </c:pt>
                <c:pt idx="885">
                  <c:v>0.9546434511764893</c:v>
                </c:pt>
                <c:pt idx="886">
                  <c:v>0.9688105857549979</c:v>
                </c:pt>
                <c:pt idx="887">
                  <c:v>0.96910987276329319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小西瓜!$A$2:$A$646</c:f>
              <c:numCache>
                <c:formatCode>yyyy\-m\-d</c:formatCode>
                <c:ptCount val="645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  <c:pt idx="246">
                  <c:v>45380</c:v>
                </c:pt>
                <c:pt idx="247">
                  <c:v>45385</c:v>
                </c:pt>
                <c:pt idx="248">
                  <c:v>45392</c:v>
                </c:pt>
                <c:pt idx="249">
                  <c:v>45393</c:v>
                </c:pt>
                <c:pt idx="250">
                  <c:v>45397</c:v>
                </c:pt>
                <c:pt idx="251">
                  <c:v>45398</c:v>
                </c:pt>
                <c:pt idx="252">
                  <c:v>45400</c:v>
                </c:pt>
                <c:pt idx="253">
                  <c:v>45401</c:v>
                </c:pt>
                <c:pt idx="254">
                  <c:v>45404</c:v>
                </c:pt>
                <c:pt idx="255">
                  <c:v>45405</c:v>
                </c:pt>
                <c:pt idx="256">
                  <c:v>45406</c:v>
                </c:pt>
                <c:pt idx="257">
                  <c:v>45407</c:v>
                </c:pt>
                <c:pt idx="258">
                  <c:v>45408</c:v>
                </c:pt>
                <c:pt idx="259">
                  <c:v>45411</c:v>
                </c:pt>
                <c:pt idx="260">
                  <c:v>45412</c:v>
                </c:pt>
                <c:pt idx="261">
                  <c:v>45418</c:v>
                </c:pt>
                <c:pt idx="262">
                  <c:v>45419</c:v>
                </c:pt>
              </c:numCache>
            </c:numRef>
          </c:xVal>
          <c:yVal>
            <c:numRef>
              <c:f>小西瓜!$B$2:$B$646</c:f>
              <c:numCache>
                <c:formatCode>0.000000_ </c:formatCode>
                <c:ptCount val="6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  <c:pt idx="235">
                  <c:v>0.85487027284704986</c:v>
                </c:pt>
                <c:pt idx="236">
                  <c:v>0.84472126088146959</c:v>
                </c:pt>
                <c:pt idx="237">
                  <c:v>0.84715298617159507</c:v>
                </c:pt>
                <c:pt idx="238">
                  <c:v>0.85112790880102573</c:v>
                </c:pt>
                <c:pt idx="239">
                  <c:v>0.83870541721561531</c:v>
                </c:pt>
                <c:pt idx="240">
                  <c:v>0.83443536878163405</c:v>
                </c:pt>
                <c:pt idx="241">
                  <c:v>0.83289527609788783</c:v>
                </c:pt>
                <c:pt idx="242">
                  <c:v>0.8169085940490316</c:v>
                </c:pt>
                <c:pt idx="243">
                  <c:v>0.8140807575324015</c:v>
                </c:pt>
                <c:pt idx="244">
                  <c:v>0.82122146531831075</c:v>
                </c:pt>
                <c:pt idx="245">
                  <c:v>0.8108828093678403</c:v>
                </c:pt>
                <c:pt idx="246">
                  <c:v>0.81280157826657695</c:v>
                </c:pt>
                <c:pt idx="247">
                  <c:v>0.81328792332460198</c:v>
                </c:pt>
                <c:pt idx="248">
                  <c:v>0.7864120060143035</c:v>
                </c:pt>
                <c:pt idx="249">
                  <c:v>0.78148126240715599</c:v>
                </c:pt>
                <c:pt idx="250">
                  <c:v>0.78339911367370785</c:v>
                </c:pt>
                <c:pt idx="251">
                  <c:v>0.78108056301972661</c:v>
                </c:pt>
                <c:pt idx="252">
                  <c:v>0.80246598109005629</c:v>
                </c:pt>
                <c:pt idx="253">
                  <c:v>0.7926396697761845</c:v>
                </c:pt>
                <c:pt idx="254">
                  <c:v>0.79270390402913127</c:v>
                </c:pt>
                <c:pt idx="255">
                  <c:v>0.79204015008201523</c:v>
                </c:pt>
                <c:pt idx="256">
                  <c:v>0.78717669950176439</c:v>
                </c:pt>
                <c:pt idx="257">
                  <c:v>0.78838491521195253</c:v>
                </c:pt>
                <c:pt idx="258">
                  <c:v>0.79992413993773648</c:v>
                </c:pt>
                <c:pt idx="259">
                  <c:v>0.8198551109949157</c:v>
                </c:pt>
                <c:pt idx="260">
                  <c:v>0.82113520789292516</c:v>
                </c:pt>
                <c:pt idx="261">
                  <c:v>0.83136221859422632</c:v>
                </c:pt>
                <c:pt idx="262">
                  <c:v>0.8296630696650884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小西瓜!$A$2:$A$600</c:f>
              <c:numCache>
                <c:formatCode>yyyy\-m\-d</c:formatCode>
                <c:ptCount val="59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  <c:pt idx="246">
                  <c:v>45380</c:v>
                </c:pt>
                <c:pt idx="247">
                  <c:v>45385</c:v>
                </c:pt>
                <c:pt idx="248">
                  <c:v>45392</c:v>
                </c:pt>
                <c:pt idx="249">
                  <c:v>45393</c:v>
                </c:pt>
                <c:pt idx="250">
                  <c:v>45397</c:v>
                </c:pt>
                <c:pt idx="251">
                  <c:v>45398</c:v>
                </c:pt>
                <c:pt idx="252">
                  <c:v>45400</c:v>
                </c:pt>
                <c:pt idx="253">
                  <c:v>45401</c:v>
                </c:pt>
                <c:pt idx="254">
                  <c:v>45404</c:v>
                </c:pt>
                <c:pt idx="255">
                  <c:v>45405</c:v>
                </c:pt>
                <c:pt idx="256">
                  <c:v>45406</c:v>
                </c:pt>
                <c:pt idx="257">
                  <c:v>45407</c:v>
                </c:pt>
                <c:pt idx="258">
                  <c:v>45408</c:v>
                </c:pt>
                <c:pt idx="259">
                  <c:v>45411</c:v>
                </c:pt>
                <c:pt idx="260">
                  <c:v>45412</c:v>
                </c:pt>
                <c:pt idx="261">
                  <c:v>45418</c:v>
                </c:pt>
                <c:pt idx="262">
                  <c:v>45419</c:v>
                </c:pt>
              </c:numCache>
            </c:numRef>
          </c:xVal>
          <c:yVal>
            <c:numRef>
              <c:f>小西瓜!$H$2:$H$600</c:f>
              <c:numCache>
                <c:formatCode>0.000000_);[Red]\(0.000000\)</c:formatCode>
                <c:ptCount val="59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  <c:pt idx="235">
                  <c:v>0.93367574694267375</c:v>
                </c:pt>
                <c:pt idx="236">
                  <c:v>0.92715362415131952</c:v>
                </c:pt>
                <c:pt idx="237">
                  <c:v>0.92653852542408066</c:v>
                </c:pt>
                <c:pt idx="238">
                  <c:v>0.93524334032348488</c:v>
                </c:pt>
                <c:pt idx="239">
                  <c:v>0.92852137532960988</c:v>
                </c:pt>
                <c:pt idx="240">
                  <c:v>0.93053277412121338</c:v>
                </c:pt>
                <c:pt idx="241">
                  <c:v>0.92941936756431287</c:v>
                </c:pt>
                <c:pt idx="242">
                  <c:v>0.92005273757863926</c:v>
                </c:pt>
                <c:pt idx="243">
                  <c:v>0.91505927786890362</c:v>
                </c:pt>
                <c:pt idx="244">
                  <c:v>0.91972831841870317</c:v>
                </c:pt>
                <c:pt idx="245">
                  <c:v>0.90909775138591864</c:v>
                </c:pt>
                <c:pt idx="246">
                  <c:v>0.91810103191246395</c:v>
                </c:pt>
                <c:pt idx="247">
                  <c:v>0.92597014305587277</c:v>
                </c:pt>
                <c:pt idx="248">
                  <c:v>0.9095960592155804</c:v>
                </c:pt>
                <c:pt idx="249">
                  <c:v>0.90947407761144439</c:v>
                </c:pt>
                <c:pt idx="250">
                  <c:v>0.92111164171667048</c:v>
                </c:pt>
                <c:pt idx="251">
                  <c:v>0.91125708531445304</c:v>
                </c:pt>
                <c:pt idx="252">
                  <c:v>0.92648921371177051</c:v>
                </c:pt>
                <c:pt idx="253">
                  <c:v>0.91918588958329006</c:v>
                </c:pt>
                <c:pt idx="254">
                  <c:v>0.91639328945456056</c:v>
                </c:pt>
                <c:pt idx="255">
                  <c:v>0.9099879575607831</c:v>
                </c:pt>
                <c:pt idx="256">
                  <c:v>0.91398480161119533</c:v>
                </c:pt>
                <c:pt idx="257">
                  <c:v>0.91623237755123232</c:v>
                </c:pt>
                <c:pt idx="258">
                  <c:v>0.93024468990719023</c:v>
                </c:pt>
                <c:pt idx="259">
                  <c:v>0.94053267030708221</c:v>
                </c:pt>
                <c:pt idx="260">
                  <c:v>0.93546654070552082</c:v>
                </c:pt>
                <c:pt idx="261">
                  <c:v>0.9493490853975044</c:v>
                </c:pt>
                <c:pt idx="262">
                  <c:v>0.94964236031808658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70485</xdr:colOff>
      <xdr:row>879</xdr:row>
      <xdr:rowOff>53340</xdr:rowOff>
    </xdr:from>
    <xdr:to>
      <xdr:col>20</xdr:col>
      <xdr:colOff>194310</xdr:colOff>
      <xdr:row>902</xdr:row>
      <xdr:rowOff>144780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869</xdr:row>
      <xdr:rowOff>7620</xdr:rowOff>
    </xdr:from>
    <xdr:to>
      <xdr:col>20</xdr:col>
      <xdr:colOff>38100</xdr:colOff>
      <xdr:row>892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238</xdr:row>
      <xdr:rowOff>111125</xdr:rowOff>
    </xdr:from>
    <xdr:to>
      <xdr:col>19</xdr:col>
      <xdr:colOff>657225</xdr:colOff>
      <xdr:row>259</xdr:row>
      <xdr:rowOff>95250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00"/>
  <sheetViews>
    <sheetView tabSelected="1" workbookViewId="0">
      <pane ySplit="1" topLeftCell="A876" activePane="bottomLeft" state="frozen"/>
      <selection pane="bottomLeft" activeCell="E901" sqref="E901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  <row r="873" spans="1:11" x14ac:dyDescent="0.2">
      <c r="A873" s="21">
        <v>45363</v>
      </c>
      <c r="B873" s="14">
        <f t="shared" ref="B873" si="684">E873/F873</f>
        <v>1.5506762978090154</v>
      </c>
      <c r="C873" s="3">
        <v>0</v>
      </c>
      <c r="D873" s="3">
        <v>0</v>
      </c>
      <c r="E873" s="3">
        <v>392855.87</v>
      </c>
      <c r="F873" s="3">
        <f t="shared" ref="F873" si="685">F872+G873</f>
        <v>253344.86027488438</v>
      </c>
      <c r="G873" s="3">
        <f t="shared" ref="G873" si="686">(C873-D873)/((E873-C873+D873)/F872)</f>
        <v>0</v>
      </c>
      <c r="H873" s="5">
        <f t="shared" ref="H873" si="687">I873/J873</f>
        <v>0.95281594643557121</v>
      </c>
      <c r="I873" s="4">
        <v>3597.49</v>
      </c>
      <c r="J873" s="4">
        <v>3775.64</v>
      </c>
      <c r="K873" s="6">
        <f t="shared" ref="K873" si="688">(B873-H873)</f>
        <v>0.59786035137344418</v>
      </c>
    </row>
    <row r="874" spans="1:11" x14ac:dyDescent="0.2">
      <c r="A874" s="21">
        <v>45364</v>
      </c>
      <c r="B874" s="14">
        <f t="shared" ref="B874" si="689">E874/F874</f>
        <v>1.5401137784151087</v>
      </c>
      <c r="C874" s="3">
        <v>0</v>
      </c>
      <c r="D874" s="3">
        <v>0</v>
      </c>
      <c r="E874" s="3">
        <v>390179.91</v>
      </c>
      <c r="F874" s="3">
        <f t="shared" ref="F874" si="690">F873+G874</f>
        <v>253344.86027488438</v>
      </c>
      <c r="G874" s="3">
        <f t="shared" ref="G874" si="691">(C874-D874)/((E874-C874+D874)/F873)</f>
        <v>0</v>
      </c>
      <c r="H874" s="5">
        <f t="shared" ref="H874" si="692">I874/J874</f>
        <v>0.94616012119799564</v>
      </c>
      <c r="I874" s="4">
        <v>3572.36</v>
      </c>
      <c r="J874" s="4">
        <v>3775.64</v>
      </c>
      <c r="K874" s="6">
        <f t="shared" ref="K874" si="693">(B874-H874)</f>
        <v>0.59395365721711302</v>
      </c>
    </row>
    <row r="875" spans="1:11" x14ac:dyDescent="0.2">
      <c r="A875" s="21">
        <v>45366</v>
      </c>
      <c r="B875" s="14">
        <f t="shared" ref="B875" si="694">E875/F875</f>
        <v>1.5469408361976247</v>
      </c>
      <c r="C875" s="3">
        <v>0</v>
      </c>
      <c r="D875" s="3">
        <v>0</v>
      </c>
      <c r="E875" s="3">
        <v>391909.51</v>
      </c>
      <c r="F875" s="3">
        <f t="shared" ref="F875" si="695">F874+G875</f>
        <v>253344.86027488438</v>
      </c>
      <c r="G875" s="3">
        <f t="shared" ref="G875" si="696">(C875-D875)/((E875-C875+D875)/F874)</f>
        <v>0</v>
      </c>
      <c r="H875" s="5">
        <f t="shared" ref="H875" si="697">I875/J875</f>
        <v>0.94553241304785407</v>
      </c>
      <c r="I875" s="4">
        <v>3569.99</v>
      </c>
      <c r="J875" s="4">
        <v>3775.64</v>
      </c>
      <c r="K875" s="6">
        <f t="shared" ref="K875" si="698">(B875-H875)</f>
        <v>0.60140842314977061</v>
      </c>
    </row>
    <row r="876" spans="1:11" x14ac:dyDescent="0.2">
      <c r="A876" s="21">
        <v>45369</v>
      </c>
      <c r="B876" s="14">
        <f t="shared" ref="B876" si="699">E876/F876</f>
        <v>1.5522819352770842</v>
      </c>
      <c r="C876" s="3">
        <v>0</v>
      </c>
      <c r="D876" s="3">
        <v>0</v>
      </c>
      <c r="E876" s="3">
        <v>393262.65</v>
      </c>
      <c r="F876" s="3">
        <f t="shared" ref="F876" si="700">F875+G876</f>
        <v>253344.86027488438</v>
      </c>
      <c r="G876" s="3">
        <f t="shared" ref="G876" si="701">(C876-D876)/((E876-C876+D876)/F875)</f>
        <v>0</v>
      </c>
      <c r="H876" s="5">
        <f t="shared" ref="H876" si="702">I876/J876</f>
        <v>0.95441567522327353</v>
      </c>
      <c r="I876" s="4">
        <v>3603.53</v>
      </c>
      <c r="J876" s="4">
        <v>3775.64</v>
      </c>
      <c r="K876" s="6">
        <f t="shared" ref="K876" si="703">(B876-H876)</f>
        <v>0.59786626005381072</v>
      </c>
    </row>
    <row r="877" spans="1:11" x14ac:dyDescent="0.2">
      <c r="A877" s="21">
        <v>45370</v>
      </c>
      <c r="B877" s="14">
        <f t="shared" ref="B877" si="704">E877/F877</f>
        <v>1.5388823344471456</v>
      </c>
      <c r="C877" s="3">
        <v>0</v>
      </c>
      <c r="D877" s="3">
        <v>0</v>
      </c>
      <c r="E877" s="3">
        <v>389867.93</v>
      </c>
      <c r="F877" s="3">
        <f t="shared" ref="F877" si="705">F876+G877</f>
        <v>253344.86027488438</v>
      </c>
      <c r="G877" s="3">
        <f t="shared" ref="G877" si="706">(C877-D877)/((E877-C877+D877)/F876)</f>
        <v>0</v>
      </c>
      <c r="H877" s="5">
        <f t="shared" ref="H877" si="707">I877/J877</f>
        <v>0.9475559110508418</v>
      </c>
      <c r="I877" s="4">
        <v>3577.63</v>
      </c>
      <c r="J877" s="4">
        <v>3775.64</v>
      </c>
      <c r="K877" s="6">
        <f t="shared" ref="K877" si="708">(B877-H877)</f>
        <v>0.59132642339630381</v>
      </c>
    </row>
    <row r="878" spans="1:11" x14ac:dyDescent="0.2">
      <c r="A878" s="21">
        <v>45371</v>
      </c>
      <c r="B878" s="14">
        <f t="shared" ref="B878" si="709">E878/F878</f>
        <v>1.5328173604100452</v>
      </c>
      <c r="C878" s="3">
        <v>0</v>
      </c>
      <c r="D878" s="3">
        <v>0</v>
      </c>
      <c r="E878" s="3">
        <v>388331.4</v>
      </c>
      <c r="F878" s="3">
        <f t="shared" ref="F878:F883" si="710">F877+G878</f>
        <v>253344.86027488438</v>
      </c>
      <c r="G878" s="3">
        <f t="shared" ref="G878:G883" si="711">(C878-D878)/((E878-C878+D878)/F877)</f>
        <v>0</v>
      </c>
      <c r="H878" s="5">
        <f t="shared" ref="H878" si="712">I878/J878</f>
        <v>0.94960854318738019</v>
      </c>
      <c r="I878" s="4">
        <v>3585.38</v>
      </c>
      <c r="J878" s="4">
        <v>3775.64</v>
      </c>
      <c r="K878" s="6">
        <f t="shared" ref="K878" si="713">(B878-H878)</f>
        <v>0.58320881722266504</v>
      </c>
    </row>
    <row r="879" spans="1:11" x14ac:dyDescent="0.2">
      <c r="A879" s="21">
        <v>45372</v>
      </c>
      <c r="B879" s="14">
        <f t="shared" ref="B879" si="714">E879/F879</f>
        <v>1.5212744382571071</v>
      </c>
      <c r="C879" s="3">
        <v>0</v>
      </c>
      <c r="D879" s="3">
        <v>0</v>
      </c>
      <c r="E879" s="3">
        <v>385407.06</v>
      </c>
      <c r="F879" s="3">
        <f t="shared" si="710"/>
        <v>253344.86027488438</v>
      </c>
      <c r="G879" s="3">
        <f t="shared" si="711"/>
        <v>0</v>
      </c>
      <c r="H879" s="5">
        <f t="shared" ref="H879" si="715">I879/J879</f>
        <v>0.94847231197889637</v>
      </c>
      <c r="I879" s="4">
        <v>3581.09</v>
      </c>
      <c r="J879" s="4">
        <v>3775.64</v>
      </c>
      <c r="K879" s="6">
        <f t="shared" ref="K879" si="716">(B879-H879)</f>
        <v>0.5728021262782107</v>
      </c>
    </row>
    <row r="880" spans="1:11" x14ac:dyDescent="0.2">
      <c r="A880" s="21">
        <v>45373</v>
      </c>
      <c r="B880" s="14">
        <f t="shared" ref="B880" si="717">E880/F880</f>
        <v>1.5021593474881623</v>
      </c>
      <c r="C880" s="3">
        <v>0</v>
      </c>
      <c r="D880" s="3">
        <v>0</v>
      </c>
      <c r="E880" s="3">
        <v>380564.35</v>
      </c>
      <c r="F880" s="3">
        <f t="shared" si="710"/>
        <v>253344.86027488438</v>
      </c>
      <c r="G880" s="3">
        <f t="shared" si="711"/>
        <v>0</v>
      </c>
      <c r="H880" s="5">
        <f t="shared" ref="H880" si="718">I880/J880</f>
        <v>0.93891366761661599</v>
      </c>
      <c r="I880" s="4">
        <v>3545</v>
      </c>
      <c r="J880" s="4">
        <v>3775.64</v>
      </c>
      <c r="K880" s="6">
        <f t="shared" ref="K880" si="719">(B880-H880)</f>
        <v>0.56324567987154628</v>
      </c>
    </row>
    <row r="881" spans="1:11" x14ac:dyDescent="0.2">
      <c r="A881" s="21">
        <v>45376</v>
      </c>
      <c r="B881" s="14">
        <f t="shared" ref="B881" si="720">E881/F881</f>
        <v>1.4914481769633068</v>
      </c>
      <c r="C881" s="3">
        <v>0</v>
      </c>
      <c r="D881" s="3">
        <v>0</v>
      </c>
      <c r="E881" s="3">
        <v>377850.73</v>
      </c>
      <c r="F881" s="3">
        <f t="shared" si="710"/>
        <v>253344.86027488438</v>
      </c>
      <c r="G881" s="3">
        <f t="shared" si="711"/>
        <v>0</v>
      </c>
      <c r="H881" s="5">
        <f t="shared" ref="H881" si="721">I881/J881</f>
        <v>0.93381784280280966</v>
      </c>
      <c r="I881" s="4">
        <v>3525.76</v>
      </c>
      <c r="J881" s="4">
        <v>3775.64</v>
      </c>
      <c r="K881" s="6">
        <f t="shared" ref="K881" si="722">(B881-H881)</f>
        <v>0.55763033416049712</v>
      </c>
    </row>
    <row r="882" spans="1:11" x14ac:dyDescent="0.2">
      <c r="A882" s="21">
        <v>45377</v>
      </c>
      <c r="B882" s="14">
        <f t="shared" ref="B882" si="723">E882/F882</f>
        <v>1.5022166606698242</v>
      </c>
      <c r="C882" s="3">
        <v>0</v>
      </c>
      <c r="D882" s="3">
        <v>0</v>
      </c>
      <c r="E882" s="3">
        <v>380578.87</v>
      </c>
      <c r="F882" s="3">
        <f t="shared" si="710"/>
        <v>253344.86027488438</v>
      </c>
      <c r="G882" s="3">
        <f t="shared" si="711"/>
        <v>0</v>
      </c>
      <c r="H882" s="5">
        <f t="shared" ref="H882" si="724">I882/J882</f>
        <v>0.93858259791717435</v>
      </c>
      <c r="I882" s="4">
        <v>3543.75</v>
      </c>
      <c r="J882" s="4">
        <v>3775.64</v>
      </c>
      <c r="K882" s="6">
        <f t="shared" ref="K882" si="725">(B882-H882)</f>
        <v>0.56363406275264982</v>
      </c>
    </row>
    <row r="883" spans="1:11" x14ac:dyDescent="0.2">
      <c r="A883" s="21">
        <v>45378</v>
      </c>
      <c r="B883" s="14">
        <f t="shared" ref="B883" si="726">E883/F883</f>
        <v>1.483488394405208</v>
      </c>
      <c r="C883" s="3">
        <v>0</v>
      </c>
      <c r="D883" s="3">
        <v>0</v>
      </c>
      <c r="E883" s="3">
        <v>375834.16</v>
      </c>
      <c r="F883" s="3">
        <f t="shared" si="710"/>
        <v>253344.86027488438</v>
      </c>
      <c r="G883" s="3">
        <f t="shared" si="711"/>
        <v>0</v>
      </c>
      <c r="H883" s="5">
        <f t="shared" ref="H883" si="727">I883/J883</f>
        <v>0.92773410600586925</v>
      </c>
      <c r="I883" s="4">
        <v>3502.79</v>
      </c>
      <c r="J883" s="4">
        <v>3775.64</v>
      </c>
      <c r="K883" s="6">
        <f t="shared" ref="K883" si="728">(B883-H883)</f>
        <v>0.55575428839933871</v>
      </c>
    </row>
    <row r="884" spans="1:11" x14ac:dyDescent="0.2">
      <c r="A884" s="21">
        <v>45380</v>
      </c>
      <c r="B884" s="14">
        <f t="shared" ref="B884" si="729">E884/F884</f>
        <v>1.4972270982266451</v>
      </c>
      <c r="C884" s="3">
        <v>0</v>
      </c>
      <c r="D884" s="3">
        <v>0</v>
      </c>
      <c r="E884" s="3">
        <v>379314.79</v>
      </c>
      <c r="F884" s="3">
        <f t="shared" ref="F884" si="730">F883+G884</f>
        <v>253344.86027488438</v>
      </c>
      <c r="G884" s="3">
        <f t="shared" ref="G884" si="731">(C884-D884)/((E884-C884+D884)/F883)</f>
        <v>0</v>
      </c>
      <c r="H884" s="5">
        <f t="shared" ref="H884" si="732">I884/J884</f>
        <v>0.93692195230477482</v>
      </c>
      <c r="I884" s="4">
        <v>3537.48</v>
      </c>
      <c r="J884" s="4">
        <v>3775.64</v>
      </c>
      <c r="K884" s="6">
        <f t="shared" ref="K884" si="733">(B884-H884)</f>
        <v>0.56030514592187031</v>
      </c>
    </row>
    <row r="885" spans="1:11" x14ac:dyDescent="0.2">
      <c r="A885" s="21">
        <v>45385</v>
      </c>
      <c r="B885" s="14">
        <f t="shared" ref="B885" si="734">E885/F885</f>
        <v>1.5261162574227656</v>
      </c>
      <c r="C885" s="3">
        <v>0</v>
      </c>
      <c r="D885" s="3">
        <v>0</v>
      </c>
      <c r="E885" s="3">
        <v>386633.71</v>
      </c>
      <c r="F885" s="3">
        <f t="shared" ref="F885" si="735">F884+G885</f>
        <v>253344.86027488438</v>
      </c>
      <c r="G885" s="3">
        <f t="shared" ref="G885" si="736">(C885-D885)/((E885-C885+D885)/F884)</f>
        <v>0</v>
      </c>
      <c r="H885" s="5">
        <f t="shared" ref="H885" si="737">I885/J885</f>
        <v>0.9449523789344324</v>
      </c>
      <c r="I885" s="4">
        <v>3567.8</v>
      </c>
      <c r="J885" s="4">
        <v>3775.64</v>
      </c>
      <c r="K885" s="6">
        <f t="shared" ref="K885" si="738">(B885-H885)</f>
        <v>0.58116387848833317</v>
      </c>
    </row>
    <row r="886" spans="1:11" x14ac:dyDescent="0.2">
      <c r="A886" s="21">
        <v>45392</v>
      </c>
      <c r="B886" s="14">
        <f t="shared" ref="B886" si="739">E886/F886</f>
        <v>1.486932435066042</v>
      </c>
      <c r="C886" s="3">
        <v>0</v>
      </c>
      <c r="D886" s="3">
        <v>0</v>
      </c>
      <c r="E886" s="3">
        <v>376706.69</v>
      </c>
      <c r="F886" s="3">
        <f t="shared" ref="F886" si="740">F885+G886</f>
        <v>253344.86027488438</v>
      </c>
      <c r="G886" s="3">
        <f t="shared" ref="G886" si="741">(C886-D886)/((E886-C886+D886)/F885)</f>
        <v>0</v>
      </c>
      <c r="H886" s="5">
        <f t="shared" ref="H886" si="742">I886/J886</f>
        <v>0.92824262906421162</v>
      </c>
      <c r="I886" s="4">
        <v>3504.71</v>
      </c>
      <c r="J886" s="4">
        <v>3775.64</v>
      </c>
      <c r="K886" s="6">
        <f t="shared" ref="K886" si="743">(B886-H886)</f>
        <v>0.55868980600183038</v>
      </c>
    </row>
    <row r="887" spans="1:11" x14ac:dyDescent="0.2">
      <c r="A887" s="21">
        <v>45393</v>
      </c>
      <c r="B887" s="14">
        <f t="shared" ref="B887" si="744">E887/F887</f>
        <v>1.4907176312565609</v>
      </c>
      <c r="C887" s="3">
        <v>0</v>
      </c>
      <c r="D887" s="3">
        <v>0</v>
      </c>
      <c r="E887" s="3">
        <v>377665.65</v>
      </c>
      <c r="F887" s="3">
        <f t="shared" ref="F887" si="745">F886+G887</f>
        <v>253344.86027488438</v>
      </c>
      <c r="G887" s="3">
        <f t="shared" ref="G887" si="746">(C887-D887)/((E887-C887+D887)/F886)</f>
        <v>0</v>
      </c>
      <c r="H887" s="5">
        <f t="shared" ref="H887" si="747">I887/J887</f>
        <v>0.92811814685722149</v>
      </c>
      <c r="I887" s="4">
        <v>3504.24</v>
      </c>
      <c r="J887" s="4">
        <v>3775.64</v>
      </c>
      <c r="K887" s="6">
        <f t="shared" ref="K887" si="748">(B887-H887)</f>
        <v>0.56259948439933938</v>
      </c>
    </row>
    <row r="888" spans="1:11" x14ac:dyDescent="0.2">
      <c r="A888" s="21">
        <v>45397</v>
      </c>
      <c r="B888" s="14">
        <f t="shared" ref="B888" si="749">E888/F888</f>
        <v>1.5219055148055971</v>
      </c>
      <c r="C888" s="3">
        <v>0</v>
      </c>
      <c r="D888" s="3">
        <v>0</v>
      </c>
      <c r="E888" s="3">
        <v>385566.94</v>
      </c>
      <c r="F888" s="3">
        <f t="shared" ref="F888" si="750">F887+G888</f>
        <v>253344.86027488438</v>
      </c>
      <c r="G888" s="3">
        <f t="shared" ref="G888" si="751">(C888-D888)/((E888-C888+D888)/F887)</f>
        <v>0</v>
      </c>
      <c r="H888" s="5">
        <f t="shared" ref="H888" si="752">I888/J888</f>
        <v>0.93999427911559363</v>
      </c>
      <c r="I888" s="4">
        <v>3549.08</v>
      </c>
      <c r="J888" s="4">
        <v>3775.64</v>
      </c>
      <c r="K888" s="6">
        <f t="shared" ref="K888" si="753">(B888-H888)</f>
        <v>0.58191123569000347</v>
      </c>
    </row>
    <row r="889" spans="1:11" x14ac:dyDescent="0.2">
      <c r="A889" s="21">
        <v>45398</v>
      </c>
      <c r="B889" s="14">
        <f t="shared" ref="B889" si="754">E889/F889</f>
        <v>1.517421192531337</v>
      </c>
      <c r="C889" s="3">
        <v>0</v>
      </c>
      <c r="D889" s="3">
        <v>0</v>
      </c>
      <c r="E889" s="3">
        <v>384430.86</v>
      </c>
      <c r="F889" s="3">
        <f t="shared" ref="F889" si="755">F888+G889</f>
        <v>253344.86027488438</v>
      </c>
      <c r="G889" s="3">
        <f t="shared" ref="G889" si="756">(C889-D889)/((E889-C889+D889)/F888)</f>
        <v>0</v>
      </c>
      <c r="H889" s="5">
        <f t="shared" ref="H889" si="757">I889/J889</f>
        <v>0.92993770592535308</v>
      </c>
      <c r="I889" s="4">
        <v>3511.11</v>
      </c>
      <c r="J889" s="4">
        <v>3775.64</v>
      </c>
      <c r="K889" s="6">
        <f t="shared" ref="K889" si="758">(B889-H889)</f>
        <v>0.58748348660598393</v>
      </c>
    </row>
    <row r="890" spans="1:11" x14ac:dyDescent="0.2">
      <c r="A890" s="21">
        <v>45400</v>
      </c>
      <c r="B890" s="14">
        <f t="shared" ref="B890" si="759">E890/F890</f>
        <v>1.5514409866990515</v>
      </c>
      <c r="C890" s="3">
        <v>0</v>
      </c>
      <c r="D890" s="3">
        <v>0</v>
      </c>
      <c r="E890" s="3">
        <v>393049.59999999998</v>
      </c>
      <c r="F890" s="3">
        <f t="shared" ref="F890" si="760">F889+G890</f>
        <v>253344.86027488438</v>
      </c>
      <c r="G890" s="3">
        <f t="shared" ref="G890" si="761">(C890-D890)/((E890-C890+D890)/F889)</f>
        <v>0</v>
      </c>
      <c r="H890" s="5">
        <f t="shared" ref="H890" si="762">I890/J890</f>
        <v>0.94548209045353904</v>
      </c>
      <c r="I890" s="4">
        <v>3569.8</v>
      </c>
      <c r="J890" s="4">
        <v>3775.64</v>
      </c>
      <c r="K890" s="6">
        <f t="shared" ref="K890" si="763">(B890-H890)</f>
        <v>0.60595889624551247</v>
      </c>
    </row>
    <row r="891" spans="1:11" x14ac:dyDescent="0.2">
      <c r="A891" s="21">
        <v>45401</v>
      </c>
      <c r="B891" s="14">
        <f t="shared" ref="B891" si="764">E891/F891</f>
        <v>1.5517303156395341</v>
      </c>
      <c r="C891" s="3">
        <v>0</v>
      </c>
      <c r="D891" s="3">
        <v>0</v>
      </c>
      <c r="E891" s="3">
        <v>393122.9</v>
      </c>
      <c r="F891" s="3">
        <f t="shared" ref="F891" si="765">F890+G891</f>
        <v>253344.86027488438</v>
      </c>
      <c r="G891" s="3">
        <f t="shared" ref="G891" si="766">(C891-D891)/((E891-C891+D891)/F890)</f>
        <v>0</v>
      </c>
      <c r="H891" s="5">
        <f t="shared" ref="H891" si="767">I891/J891</f>
        <v>0.93802904937970777</v>
      </c>
      <c r="I891" s="4">
        <v>3541.66</v>
      </c>
      <c r="J891" s="4">
        <v>3775.64</v>
      </c>
      <c r="K891" s="6">
        <f t="shared" ref="K891" si="768">(B891-H891)</f>
        <v>0.61370126625982635</v>
      </c>
    </row>
    <row r="892" spans="1:11" x14ac:dyDescent="0.2">
      <c r="A892" s="21">
        <v>45404</v>
      </c>
      <c r="B892" s="14">
        <f t="shared" ref="B892" si="769">E892/F892</f>
        <v>1.5547424548997189</v>
      </c>
      <c r="C892" s="3">
        <v>0</v>
      </c>
      <c r="D892" s="3">
        <v>0</v>
      </c>
      <c r="E892" s="3">
        <v>393886.01</v>
      </c>
      <c r="F892" s="3">
        <f t="shared" ref="F892" si="770">F891+G892</f>
        <v>253344.86027488438</v>
      </c>
      <c r="G892" s="3">
        <f t="shared" ref="G892" si="771">(C892-D892)/((E892-C892+D892)/F891)</f>
        <v>0</v>
      </c>
      <c r="H892" s="5">
        <f t="shared" ref="H892" si="772">I892/J892</f>
        <v>0.9351792014069138</v>
      </c>
      <c r="I892" s="4">
        <v>3530.9</v>
      </c>
      <c r="J892" s="4">
        <v>3775.64</v>
      </c>
      <c r="K892" s="6">
        <f t="shared" ref="K892" si="773">(B892-H892)</f>
        <v>0.61956325349280505</v>
      </c>
    </row>
    <row r="893" spans="1:11" x14ac:dyDescent="0.2">
      <c r="A893" s="21">
        <v>45405</v>
      </c>
      <c r="B893" s="14">
        <f t="shared" ref="B893" si="774">E893/F893</f>
        <v>1.5491619588183456</v>
      </c>
      <c r="C893" s="3">
        <v>0</v>
      </c>
      <c r="D893" s="3">
        <v>0</v>
      </c>
      <c r="E893" s="3">
        <v>392472.22</v>
      </c>
      <c r="F893" s="3">
        <f t="shared" ref="F893" si="775">F892+G893</f>
        <v>253344.86027488438</v>
      </c>
      <c r="G893" s="3">
        <f t="shared" ref="G893" si="776">(C893-D893)/((E893-C893+D893)/F892)</f>
        <v>0</v>
      </c>
      <c r="H893" s="5">
        <f t="shared" ref="H893" si="777">I893/J893</f>
        <v>0.9286425612611372</v>
      </c>
      <c r="I893" s="4">
        <v>3506.22</v>
      </c>
      <c r="J893" s="4">
        <v>3775.64</v>
      </c>
      <c r="K893" s="6">
        <f t="shared" ref="K893" si="778">(B893-H893)</f>
        <v>0.62051939755720842</v>
      </c>
    </row>
    <row r="894" spans="1:11" x14ac:dyDescent="0.2">
      <c r="A894" s="21">
        <v>45406</v>
      </c>
      <c r="B894" s="14">
        <f t="shared" ref="B894" si="779">E894/F894</f>
        <v>1.5483436276322502</v>
      </c>
      <c r="C894" s="3">
        <v>0</v>
      </c>
      <c r="D894" s="3">
        <v>0</v>
      </c>
      <c r="E894" s="3">
        <v>392264.9</v>
      </c>
      <c r="F894" s="3">
        <f t="shared" ref="F894" si="780">F893+G894</f>
        <v>253344.86027488438</v>
      </c>
      <c r="G894" s="3">
        <f t="shared" ref="G894" si="781">(C894-D894)/((E894-C894+D894)/F893)</f>
        <v>0</v>
      </c>
      <c r="H894" s="5">
        <f t="shared" ref="H894" si="782">I894/J894</f>
        <v>0.93272133995825879</v>
      </c>
      <c r="I894" s="4">
        <v>3521.62</v>
      </c>
      <c r="J894" s="4">
        <v>3775.64</v>
      </c>
      <c r="K894" s="6">
        <f t="shared" ref="K894" si="783">(B894-H894)</f>
        <v>0.61562228767399141</v>
      </c>
    </row>
    <row r="895" spans="1:11" x14ac:dyDescent="0.2">
      <c r="A895" s="21">
        <v>45407</v>
      </c>
      <c r="B895" s="14">
        <f t="shared" ref="B895" si="784">E895/F895</f>
        <v>1.5502537512458687</v>
      </c>
      <c r="C895" s="3">
        <v>0</v>
      </c>
      <c r="D895" s="3">
        <v>0</v>
      </c>
      <c r="E895" s="3">
        <v>392748.82</v>
      </c>
      <c r="F895" s="3">
        <f t="shared" ref="F895" si="785">F894+G895</f>
        <v>253344.86027488438</v>
      </c>
      <c r="G895" s="3">
        <f t="shared" ref="G895" si="786">(C895-D895)/((E895-C895+D895)/F894)</f>
        <v>0</v>
      </c>
      <c r="H895" s="5">
        <f t="shared" ref="H895" si="787">I895/J895</f>
        <v>0.93501499083599082</v>
      </c>
      <c r="I895" s="4">
        <v>3530.28</v>
      </c>
      <c r="J895" s="4">
        <v>3775.64</v>
      </c>
      <c r="K895" s="6">
        <f t="shared" ref="K895" si="788">(B895-H895)</f>
        <v>0.61523876040987791</v>
      </c>
    </row>
    <row r="896" spans="1:11" x14ac:dyDescent="0.2">
      <c r="A896" s="21">
        <v>45408</v>
      </c>
      <c r="B896" s="14">
        <f t="shared" ref="B896" si="789">E896/F896</f>
        <v>1.5584810347902771</v>
      </c>
      <c r="C896" s="3">
        <v>0</v>
      </c>
      <c r="D896" s="3">
        <v>0</v>
      </c>
      <c r="E896" s="3">
        <v>394833.16</v>
      </c>
      <c r="F896" s="3">
        <f t="shared" ref="F896" si="790">F895+G896</f>
        <v>253344.86027488438</v>
      </c>
      <c r="G896" s="3">
        <f t="shared" ref="G896" si="791">(C896-D896)/((E896-C896+D896)/F895)</f>
        <v>0</v>
      </c>
      <c r="H896" s="5">
        <f t="shared" ref="H896" si="792">I896/J896</f>
        <v>0.94931455329427594</v>
      </c>
      <c r="I896" s="4">
        <v>3584.27</v>
      </c>
      <c r="J896" s="4">
        <v>3775.64</v>
      </c>
      <c r="K896" s="6">
        <f t="shared" ref="K896" si="793">(B896-H896)</f>
        <v>0.60916648149600117</v>
      </c>
    </row>
    <row r="897" spans="1:11" x14ac:dyDescent="0.2">
      <c r="A897" s="21">
        <v>45411</v>
      </c>
      <c r="B897" s="14">
        <f t="shared" ref="B897" si="794">E897/F897</f>
        <v>1.5739870134619489</v>
      </c>
      <c r="C897" s="3">
        <v>0</v>
      </c>
      <c r="D897" s="3">
        <v>0</v>
      </c>
      <c r="E897" s="3">
        <v>398761.52</v>
      </c>
      <c r="F897" s="3">
        <f t="shared" ref="F897" si="795">F896+G897</f>
        <v>253344.86027488438</v>
      </c>
      <c r="G897" s="3">
        <f t="shared" ref="G897" si="796">(C897-D897)/((E897-C897+D897)/F896)</f>
        <v>0</v>
      </c>
      <c r="H897" s="5">
        <f t="shared" ref="H897" si="797">I897/J897</f>
        <v>0.95981343560297061</v>
      </c>
      <c r="I897" s="4">
        <v>3623.91</v>
      </c>
      <c r="J897" s="4">
        <v>3775.64</v>
      </c>
      <c r="K897" s="6">
        <f t="shared" ref="K897" si="798">(B897-H897)</f>
        <v>0.6141735778589783</v>
      </c>
    </row>
    <row r="898" spans="1:11" x14ac:dyDescent="0.2">
      <c r="A898" s="21">
        <v>45412</v>
      </c>
      <c r="B898" s="14">
        <f t="shared" ref="B898" si="799">E898/F898</f>
        <v>1.5830583638635574</v>
      </c>
      <c r="C898" s="3">
        <v>0</v>
      </c>
      <c r="D898" s="3">
        <v>0</v>
      </c>
      <c r="E898" s="3">
        <v>401059.7</v>
      </c>
      <c r="F898" s="3">
        <f t="shared" ref="F898" si="800">F897+G898</f>
        <v>253344.86027488438</v>
      </c>
      <c r="G898" s="3">
        <f t="shared" ref="G898" si="801">(C898-D898)/((E898-C898+D898)/F897)</f>
        <v>0</v>
      </c>
      <c r="H898" s="5">
        <f t="shared" ref="H898" si="802">I898/J898</f>
        <v>0.9546434511764893</v>
      </c>
      <c r="I898" s="4">
        <v>3604.39</v>
      </c>
      <c r="J898" s="4">
        <v>3775.64</v>
      </c>
      <c r="K898" s="6">
        <f t="shared" ref="K898" si="803">(B898-H898)</f>
        <v>0.62841491268706806</v>
      </c>
    </row>
    <row r="899" spans="1:11" x14ac:dyDescent="0.2">
      <c r="A899" s="21">
        <v>45418</v>
      </c>
      <c r="B899" s="14">
        <f t="shared" ref="B899" si="804">E899/F899</f>
        <v>1.6076559025435941</v>
      </c>
      <c r="C899" s="3">
        <v>0</v>
      </c>
      <c r="D899" s="3">
        <v>0</v>
      </c>
      <c r="E899" s="3">
        <v>407291.36</v>
      </c>
      <c r="F899" s="3">
        <f t="shared" ref="F899" si="805">F898+G899</f>
        <v>253344.86027488438</v>
      </c>
      <c r="G899" s="3">
        <f t="shared" ref="G899" si="806">(C899-D899)/((E899-C899+D899)/F898)</f>
        <v>0</v>
      </c>
      <c r="H899" s="5">
        <f t="shared" ref="H899" si="807">I899/J899</f>
        <v>0.9688105857549979</v>
      </c>
      <c r="I899" s="4">
        <v>3657.88</v>
      </c>
      <c r="J899" s="4">
        <v>3775.64</v>
      </c>
      <c r="K899" s="6">
        <f t="shared" ref="K899" si="808">(B899-H899)</f>
        <v>0.63884531678859624</v>
      </c>
    </row>
    <row r="900" spans="1:11" x14ac:dyDescent="0.2">
      <c r="A900" s="21">
        <v>45419</v>
      </c>
      <c r="B900" s="14">
        <f t="shared" ref="B900" si="809">E900/F900</f>
        <v>1.6083953688970727</v>
      </c>
      <c r="C900" s="3">
        <v>0</v>
      </c>
      <c r="D900" s="3">
        <v>0</v>
      </c>
      <c r="E900" s="3">
        <v>407478.7</v>
      </c>
      <c r="F900" s="3">
        <f t="shared" ref="F900" si="810">F899+G900</f>
        <v>253344.86027488438</v>
      </c>
      <c r="G900" s="3">
        <f t="shared" ref="G900" si="811">(C900-D900)/((E900-C900+D900)/F899)</f>
        <v>0</v>
      </c>
      <c r="H900" s="5">
        <f t="shared" ref="H900" si="812">I900/J900</f>
        <v>0.96910987276329319</v>
      </c>
      <c r="I900" s="4">
        <v>3659.01</v>
      </c>
      <c r="J900" s="4">
        <v>3775.64</v>
      </c>
      <c r="K900" s="6">
        <f t="shared" ref="K900" si="813">(B900-H900)</f>
        <v>0.6392854961337795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89"/>
  <sheetViews>
    <sheetView workbookViewId="0">
      <pane ySplit="1" topLeftCell="A862" activePane="bottomLeft" state="frozen"/>
      <selection pane="bottomLeft" activeCell="E890" sqref="E890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  <row r="862" spans="1:11" x14ac:dyDescent="0.2">
      <c r="A862" s="21">
        <v>45363</v>
      </c>
      <c r="B862" s="14">
        <f t="shared" ref="B862" si="2379">E862/F862</f>
        <v>1.5293722963194545</v>
      </c>
      <c r="C862" s="3">
        <v>0</v>
      </c>
      <c r="D862" s="3">
        <v>0</v>
      </c>
      <c r="E862" s="3">
        <v>800242.97</v>
      </c>
      <c r="F862" s="3">
        <f t="shared" ref="F862" si="2380">F861+G862</f>
        <v>523249.29118033772</v>
      </c>
      <c r="G862" s="3">
        <f t="shared" ref="G862" si="2381">(C862-D862)/((E862-C862+D862)/F861)</f>
        <v>0</v>
      </c>
      <c r="H862" s="5">
        <f t="shared" ref="H862" si="2382">I862/J862</f>
        <v>0.95281594643557121</v>
      </c>
      <c r="I862" s="4">
        <v>3597.49</v>
      </c>
      <c r="J862" s="4">
        <v>3775.64</v>
      </c>
      <c r="K862" s="6">
        <f t="shared" ref="K862" si="2383">(B862-H862)</f>
        <v>0.57655634988388327</v>
      </c>
    </row>
    <row r="863" spans="1:11" x14ac:dyDescent="0.2">
      <c r="A863" s="21">
        <v>45364</v>
      </c>
      <c r="B863" s="14">
        <f t="shared" ref="B863" si="2384">E863/F863</f>
        <v>1.5175130542629538</v>
      </c>
      <c r="C863" s="3">
        <v>0</v>
      </c>
      <c r="D863" s="3">
        <v>0</v>
      </c>
      <c r="E863" s="3">
        <v>794037.63</v>
      </c>
      <c r="F863" s="3">
        <f t="shared" ref="F863" si="2385">F862+G863</f>
        <v>523249.29118033772</v>
      </c>
      <c r="G863" s="3">
        <f t="shared" ref="G863" si="2386">(C863-D863)/((E863-C863+D863)/F862)</f>
        <v>0</v>
      </c>
      <c r="H863" s="5">
        <f t="shared" ref="H863" si="2387">I863/J863</f>
        <v>0.94616012119799564</v>
      </c>
      <c r="I863" s="4">
        <v>3572.36</v>
      </c>
      <c r="J863" s="4">
        <v>3775.64</v>
      </c>
      <c r="K863" s="6">
        <f t="shared" ref="K863" si="2388">(B863-H863)</f>
        <v>0.57135293306495816</v>
      </c>
    </row>
    <row r="864" spans="1:11" x14ac:dyDescent="0.2">
      <c r="A864" s="21">
        <v>45366</v>
      </c>
      <c r="B864" s="14">
        <f t="shared" ref="B864" si="2389">E864/F864</f>
        <v>1.5204815819345274</v>
      </c>
      <c r="C864" s="3">
        <v>0</v>
      </c>
      <c r="D864" s="3">
        <v>0</v>
      </c>
      <c r="E864" s="3">
        <v>795590.91</v>
      </c>
      <c r="F864" s="3">
        <f t="shared" ref="F864" si="2390">F863+G864</f>
        <v>523249.29118033772</v>
      </c>
      <c r="G864" s="3">
        <f t="shared" ref="G864" si="2391">(C864-D864)/((E864-C864+D864)/F863)</f>
        <v>0</v>
      </c>
      <c r="H864" s="5">
        <f t="shared" ref="H864" si="2392">I864/J864</f>
        <v>0.94553241304785407</v>
      </c>
      <c r="I864" s="4">
        <v>3569.99</v>
      </c>
      <c r="J864" s="4">
        <v>3775.64</v>
      </c>
      <c r="K864" s="6">
        <f t="shared" ref="K864" si="2393">(B864-H864)</f>
        <v>0.57494916888667336</v>
      </c>
    </row>
    <row r="865" spans="1:11" x14ac:dyDescent="0.2">
      <c r="A865" s="21">
        <v>45369</v>
      </c>
      <c r="B865" s="14">
        <f t="shared" ref="B865" si="2394">E865/F865</f>
        <v>1.5277493223100977</v>
      </c>
      <c r="C865" s="3">
        <v>0</v>
      </c>
      <c r="D865" s="3">
        <v>0</v>
      </c>
      <c r="E865" s="3">
        <v>799393.75</v>
      </c>
      <c r="F865" s="3">
        <f t="shared" ref="F865" si="2395">F864+G865</f>
        <v>523249.29118033772</v>
      </c>
      <c r="G865" s="3">
        <f t="shared" ref="G865" si="2396">(C865-D865)/((E865-C865+D865)/F864)</f>
        <v>0</v>
      </c>
      <c r="H865" s="5">
        <f t="shared" ref="H865" si="2397">I865/J865</f>
        <v>0.95441567522327353</v>
      </c>
      <c r="I865" s="4">
        <v>3603.53</v>
      </c>
      <c r="J865" s="4">
        <v>3775.64</v>
      </c>
      <c r="K865" s="6">
        <f t="shared" ref="K865" si="2398">(B865-H865)</f>
        <v>0.57333364708682422</v>
      </c>
    </row>
    <row r="866" spans="1:11" x14ac:dyDescent="0.2">
      <c r="A866" s="21">
        <v>45370</v>
      </c>
      <c r="B866" s="14">
        <f t="shared" ref="B866" si="2399">E866/F866</f>
        <v>1.5133152463785988</v>
      </c>
      <c r="C866" s="3">
        <v>0</v>
      </c>
      <c r="D866" s="3">
        <v>0</v>
      </c>
      <c r="E866" s="3">
        <v>791841.13</v>
      </c>
      <c r="F866" s="3">
        <f t="shared" ref="F866" si="2400">F865+G866</f>
        <v>523249.29118033772</v>
      </c>
      <c r="G866" s="3">
        <f t="shared" ref="G866" si="2401">(C866-D866)/((E866-C866+D866)/F865)</f>
        <v>0</v>
      </c>
      <c r="H866" s="5">
        <f t="shared" ref="H866" si="2402">I866/J866</f>
        <v>0.9475559110508418</v>
      </c>
      <c r="I866" s="4">
        <v>3577.63</v>
      </c>
      <c r="J866" s="4">
        <v>3775.64</v>
      </c>
      <c r="K866" s="6">
        <f t="shared" ref="K866" si="2403">(B866-H866)</f>
        <v>0.56575933532775702</v>
      </c>
    </row>
    <row r="867" spans="1:11" x14ac:dyDescent="0.2">
      <c r="A867" s="21">
        <v>45371</v>
      </c>
      <c r="B867" s="14">
        <f t="shared" ref="B867" si="2404">E867/F867</f>
        <v>1.5071123712773664</v>
      </c>
      <c r="C867" s="3">
        <v>0</v>
      </c>
      <c r="D867" s="3">
        <v>0</v>
      </c>
      <c r="E867" s="3">
        <v>788595.48</v>
      </c>
      <c r="F867" s="3">
        <f t="shared" ref="F867" si="2405">F866+G867</f>
        <v>523249.29118033772</v>
      </c>
      <c r="G867" s="3">
        <f t="shared" ref="G867" si="2406">(C867-D867)/((E867-C867+D867)/F866)</f>
        <v>0</v>
      </c>
      <c r="H867" s="5">
        <f t="shared" ref="H867" si="2407">I867/J867</f>
        <v>0.94960854318738019</v>
      </c>
      <c r="I867" s="4">
        <v>3585.38</v>
      </c>
      <c r="J867" s="4">
        <v>3775.64</v>
      </c>
      <c r="K867" s="6">
        <f t="shared" ref="K867" si="2408">(B867-H867)</f>
        <v>0.55750382808998622</v>
      </c>
    </row>
    <row r="868" spans="1:11" x14ac:dyDescent="0.2">
      <c r="A868" s="21">
        <v>45372</v>
      </c>
      <c r="B868" s="14">
        <f t="shared" ref="B868" si="2409">E868/F868</f>
        <v>1.4977234622376276</v>
      </c>
      <c r="C868" s="3">
        <v>0</v>
      </c>
      <c r="D868" s="3">
        <v>0</v>
      </c>
      <c r="E868" s="3">
        <v>783682.74</v>
      </c>
      <c r="F868" s="3">
        <f t="shared" ref="F868" si="2410">F867+G868</f>
        <v>523249.29118033772</v>
      </c>
      <c r="G868" s="3">
        <f t="shared" ref="G868" si="2411">(C868-D868)/((E868-C868+D868)/F867)</f>
        <v>0</v>
      </c>
      <c r="H868" s="5">
        <f t="shared" ref="H868" si="2412">I868/J868</f>
        <v>0.94847231197889637</v>
      </c>
      <c r="I868" s="4">
        <v>3581.09</v>
      </c>
      <c r="J868" s="4">
        <v>3775.64</v>
      </c>
      <c r="K868" s="6">
        <f t="shared" ref="K868" si="2413">(B868-H868)</f>
        <v>0.54925115025873128</v>
      </c>
    </row>
    <row r="869" spans="1:11" x14ac:dyDescent="0.2">
      <c r="A869" s="21">
        <v>45373</v>
      </c>
      <c r="B869" s="14">
        <f t="shared" ref="B869" si="2414">E869/F869</f>
        <v>1.4766704571295839</v>
      </c>
      <c r="C869" s="3">
        <v>0</v>
      </c>
      <c r="D869" s="3">
        <v>0</v>
      </c>
      <c r="E869" s="3">
        <v>772666.77</v>
      </c>
      <c r="F869" s="3">
        <f t="shared" ref="F869" si="2415">F868+G869</f>
        <v>523249.29118033772</v>
      </c>
      <c r="G869" s="3">
        <f t="shared" ref="G869" si="2416">(C869-D869)/((E869-C869+D869)/F868)</f>
        <v>0</v>
      </c>
      <c r="H869" s="5">
        <f t="shared" ref="H869" si="2417">I869/J869</f>
        <v>0.93891366761661599</v>
      </c>
      <c r="I869" s="4">
        <v>3545</v>
      </c>
      <c r="J869" s="4">
        <v>3775.64</v>
      </c>
      <c r="K869" s="6">
        <f t="shared" ref="K869" si="2418">(B869-H869)</f>
        <v>0.5377567895129679</v>
      </c>
    </row>
    <row r="870" spans="1:11" x14ac:dyDescent="0.2">
      <c r="A870" s="21">
        <v>45376</v>
      </c>
      <c r="B870" s="14">
        <f t="shared" ref="B870" si="2419">E870/F870</f>
        <v>1.4678084862140763</v>
      </c>
      <c r="C870" s="3">
        <v>0</v>
      </c>
      <c r="D870" s="3">
        <v>0</v>
      </c>
      <c r="E870" s="3">
        <v>768029.75</v>
      </c>
      <c r="F870" s="3">
        <f t="shared" ref="F870" si="2420">F869+G870</f>
        <v>523249.29118033772</v>
      </c>
      <c r="G870" s="3">
        <f t="shared" ref="G870" si="2421">(C870-D870)/((E870-C870+D870)/F869)</f>
        <v>0</v>
      </c>
      <c r="H870" s="5">
        <f t="shared" ref="H870" si="2422">I870/J870</f>
        <v>0.93381784280280966</v>
      </c>
      <c r="I870" s="4">
        <v>3525.76</v>
      </c>
      <c r="J870" s="4">
        <v>3775.64</v>
      </c>
      <c r="K870" s="6">
        <f t="shared" ref="K870" si="2423">(B870-H870)</f>
        <v>0.53399064341126667</v>
      </c>
    </row>
    <row r="871" spans="1:11" x14ac:dyDescent="0.2">
      <c r="A871" s="21">
        <v>45377</v>
      </c>
      <c r="B871" s="14">
        <f t="shared" ref="B871" si="2424">E871/F871</f>
        <v>1.4807158902255848</v>
      </c>
      <c r="C871" s="3">
        <v>0</v>
      </c>
      <c r="D871" s="3">
        <v>0</v>
      </c>
      <c r="E871" s="3">
        <v>774783.54</v>
      </c>
      <c r="F871" s="3">
        <f t="shared" ref="F871" si="2425">F870+G871</f>
        <v>523249.29118033772</v>
      </c>
      <c r="G871" s="3">
        <f t="shared" ref="G871" si="2426">(C871-D871)/((E871-C871+D871)/F870)</f>
        <v>0</v>
      </c>
      <c r="H871" s="5">
        <f t="shared" ref="H871" si="2427">I871/J871</f>
        <v>0.93858259791717435</v>
      </c>
      <c r="I871" s="4">
        <v>3543.75</v>
      </c>
      <c r="J871" s="4">
        <v>3775.64</v>
      </c>
      <c r="K871" s="6">
        <f t="shared" ref="K871" si="2428">(B871-H871)</f>
        <v>0.54213329230841045</v>
      </c>
    </row>
    <row r="872" spans="1:11" x14ac:dyDescent="0.2">
      <c r="A872" s="21">
        <v>45378</v>
      </c>
      <c r="B872" s="14">
        <f t="shared" ref="B872" si="2429">E872/F872</f>
        <v>1.4619268346726904</v>
      </c>
      <c r="C872" s="3">
        <v>0</v>
      </c>
      <c r="D872" s="3">
        <v>0</v>
      </c>
      <c r="E872" s="3">
        <v>764952.18</v>
      </c>
      <c r="F872" s="3">
        <f t="shared" ref="F872" si="2430">F871+G872</f>
        <v>523249.29118033772</v>
      </c>
      <c r="G872" s="3">
        <f t="shared" ref="G872" si="2431">(C872-D872)/((E872-C872+D872)/F871)</f>
        <v>0</v>
      </c>
      <c r="H872" s="5">
        <f t="shared" ref="H872" si="2432">I872/J872</f>
        <v>0.92773410600586925</v>
      </c>
      <c r="I872" s="4">
        <v>3502.79</v>
      </c>
      <c r="J872" s="4">
        <v>3775.64</v>
      </c>
      <c r="K872" s="6">
        <f t="shared" ref="K872" si="2433">(B872-H872)</f>
        <v>0.5341927286668211</v>
      </c>
    </row>
    <row r="873" spans="1:11" x14ac:dyDescent="0.2">
      <c r="A873" s="21">
        <v>45380</v>
      </c>
      <c r="B873" s="14">
        <f t="shared" ref="B873" si="2434">E873/F873</f>
        <v>1.4750225619206769</v>
      </c>
      <c r="C873" s="3">
        <v>0</v>
      </c>
      <c r="D873" s="3">
        <v>0</v>
      </c>
      <c r="E873" s="3">
        <v>771804.51</v>
      </c>
      <c r="F873" s="3">
        <f t="shared" ref="F873" si="2435">F872+G873</f>
        <v>523249.29118033772</v>
      </c>
      <c r="G873" s="3">
        <f t="shared" ref="G873" si="2436">(C873-D873)/((E873-C873+D873)/F872)</f>
        <v>0</v>
      </c>
      <c r="H873" s="5">
        <f t="shared" ref="H873" si="2437">I873/J873</f>
        <v>0.93692195230477482</v>
      </c>
      <c r="I873" s="4">
        <v>3537.48</v>
      </c>
      <c r="J873" s="4">
        <v>3775.64</v>
      </c>
      <c r="K873" s="6">
        <f t="shared" ref="K873" si="2438">(B873-H873)</f>
        <v>0.53810060961590211</v>
      </c>
    </row>
    <row r="874" spans="1:11" x14ac:dyDescent="0.2">
      <c r="A874" s="21">
        <v>45385</v>
      </c>
      <c r="B874" s="14">
        <f t="shared" ref="B874" si="2439">E874/F874</f>
        <v>1.5004630550553577</v>
      </c>
      <c r="C874" s="3">
        <v>0</v>
      </c>
      <c r="D874" s="3">
        <v>0</v>
      </c>
      <c r="E874" s="3">
        <v>785116.23</v>
      </c>
      <c r="F874" s="3">
        <f t="shared" ref="F874" si="2440">F873+G874</f>
        <v>523249.29118033772</v>
      </c>
      <c r="G874" s="3">
        <f t="shared" ref="G874" si="2441">(C874-D874)/((E874-C874+D874)/F873)</f>
        <v>0</v>
      </c>
      <c r="H874" s="5">
        <f t="shared" ref="H874" si="2442">I874/J874</f>
        <v>0.9449523789344324</v>
      </c>
      <c r="I874" s="4">
        <v>3567.8</v>
      </c>
      <c r="J874" s="4">
        <v>3775.64</v>
      </c>
      <c r="K874" s="6">
        <f t="shared" ref="K874" si="2443">(B874-H874)</f>
        <v>0.55551067612092531</v>
      </c>
    </row>
    <row r="875" spans="1:11" x14ac:dyDescent="0.2">
      <c r="A875" s="21">
        <v>45392</v>
      </c>
      <c r="B875" s="14">
        <f t="shared" ref="B875" si="2444">E875/F875</f>
        <v>1.4603530723879055</v>
      </c>
      <c r="C875" s="3">
        <v>0</v>
      </c>
      <c r="D875" s="3">
        <v>0</v>
      </c>
      <c r="E875" s="3">
        <v>764128.71</v>
      </c>
      <c r="F875" s="3">
        <f t="shared" ref="F875" si="2445">F874+G875</f>
        <v>523249.29118033772</v>
      </c>
      <c r="G875" s="3">
        <f t="shared" ref="G875" si="2446">(C875-D875)/((E875-C875+D875)/F874)</f>
        <v>0</v>
      </c>
      <c r="H875" s="5">
        <f t="shared" ref="H875" si="2447">I875/J875</f>
        <v>0.92824262906421162</v>
      </c>
      <c r="I875" s="4">
        <v>3504.71</v>
      </c>
      <c r="J875" s="4">
        <v>3775.64</v>
      </c>
      <c r="K875" s="6">
        <f t="shared" ref="K875" si="2448">(B875-H875)</f>
        <v>0.53211044332369384</v>
      </c>
    </row>
    <row r="876" spans="1:11" x14ac:dyDescent="0.2">
      <c r="A876" s="21">
        <v>45393</v>
      </c>
      <c r="B876" s="14">
        <f t="shared" ref="B876" si="2449">E876/F876</f>
        <v>1.4618259076367819</v>
      </c>
      <c r="C876" s="3">
        <v>0</v>
      </c>
      <c r="D876" s="3">
        <v>0</v>
      </c>
      <c r="E876" s="3">
        <v>764899.37</v>
      </c>
      <c r="F876" s="3">
        <f t="shared" ref="F876" si="2450">F875+G876</f>
        <v>523249.29118033772</v>
      </c>
      <c r="G876" s="3">
        <f t="shared" ref="G876" si="2451">(C876-D876)/((E876-C876+D876)/F875)</f>
        <v>0</v>
      </c>
      <c r="H876" s="5">
        <f t="shared" ref="H876" si="2452">I876/J876</f>
        <v>0.92811814685722149</v>
      </c>
      <c r="I876" s="4">
        <v>3504.24</v>
      </c>
      <c r="J876" s="4">
        <v>3775.64</v>
      </c>
      <c r="K876" s="6">
        <f t="shared" ref="K876" si="2453">(B876-H876)</f>
        <v>0.53370776077956039</v>
      </c>
    </row>
    <row r="877" spans="1:11" x14ac:dyDescent="0.2">
      <c r="A877" s="21">
        <v>45397</v>
      </c>
      <c r="B877" s="14">
        <f t="shared" ref="B877" si="2454">E877/F877</f>
        <v>1.489721654933589</v>
      </c>
      <c r="C877" s="3">
        <v>0</v>
      </c>
      <c r="D877" s="3">
        <v>0</v>
      </c>
      <c r="E877" s="3">
        <v>779495.8</v>
      </c>
      <c r="F877" s="3">
        <f t="shared" ref="F877" si="2455">F876+G877</f>
        <v>523249.29118033772</v>
      </c>
      <c r="G877" s="3">
        <f t="shared" ref="G877" si="2456">(C877-D877)/((E877-C877+D877)/F876)</f>
        <v>0</v>
      </c>
      <c r="H877" s="5">
        <f t="shared" ref="H877" si="2457">I877/J877</f>
        <v>0.93999427911559363</v>
      </c>
      <c r="I877" s="4">
        <v>3549.08</v>
      </c>
      <c r="J877" s="4">
        <v>3775.64</v>
      </c>
      <c r="K877" s="6">
        <f t="shared" ref="K877" si="2458">(B877-H877)</f>
        <v>0.54972737581799536</v>
      </c>
    </row>
    <row r="878" spans="1:11" x14ac:dyDescent="0.2">
      <c r="A878" s="21">
        <v>45398</v>
      </c>
      <c r="B878" s="14">
        <f t="shared" ref="B878" si="2459">E878/F878</f>
        <v>1.4828649232371029</v>
      </c>
      <c r="C878" s="3">
        <v>0</v>
      </c>
      <c r="D878" s="3">
        <v>0</v>
      </c>
      <c r="E878" s="3">
        <v>775908.02</v>
      </c>
      <c r="F878" s="3">
        <f t="shared" ref="F878" si="2460">F877+G878</f>
        <v>523249.29118033772</v>
      </c>
      <c r="G878" s="3">
        <f t="shared" ref="G878" si="2461">(C878-D878)/((E878-C878+D878)/F877)</f>
        <v>0</v>
      </c>
      <c r="H878" s="5">
        <f t="shared" ref="H878" si="2462">I878/J878</f>
        <v>0.92993770592535308</v>
      </c>
      <c r="I878" s="4">
        <v>3511.11</v>
      </c>
      <c r="J878" s="4">
        <v>3775.64</v>
      </c>
      <c r="K878" s="6">
        <f t="shared" ref="K878" si="2463">(B878-H878)</f>
        <v>0.55292721731174987</v>
      </c>
    </row>
    <row r="879" spans="1:11" x14ac:dyDescent="0.2">
      <c r="A879" s="21">
        <v>45400</v>
      </c>
      <c r="B879" s="14">
        <f t="shared" ref="B879" si="2464">E879/F879</f>
        <v>1.512512244813031</v>
      </c>
      <c r="C879" s="3">
        <v>0</v>
      </c>
      <c r="D879" s="3">
        <v>0</v>
      </c>
      <c r="E879" s="3">
        <v>791420.96</v>
      </c>
      <c r="F879" s="3">
        <f t="shared" ref="F879" si="2465">F878+G879</f>
        <v>523249.29118033772</v>
      </c>
      <c r="G879" s="3">
        <f t="shared" ref="G879" si="2466">(C879-D879)/((E879-C879+D879)/F878)</f>
        <v>0</v>
      </c>
      <c r="H879" s="5">
        <f t="shared" ref="H879" si="2467">I879/J879</f>
        <v>0.94548209045353904</v>
      </c>
      <c r="I879" s="4">
        <v>3569.8</v>
      </c>
      <c r="J879" s="4">
        <v>3775.64</v>
      </c>
      <c r="K879" s="6">
        <f t="shared" ref="K879" si="2468">(B879-H879)</f>
        <v>0.567030154359492</v>
      </c>
    </row>
    <row r="880" spans="1:11" x14ac:dyDescent="0.2">
      <c r="A880" s="21">
        <v>45401</v>
      </c>
      <c r="B880" s="14">
        <f t="shared" ref="B880" si="2469">E880/F880</f>
        <v>1.5077609722515493</v>
      </c>
      <c r="C880" s="3">
        <v>0</v>
      </c>
      <c r="D880" s="3">
        <v>0</v>
      </c>
      <c r="E880" s="3">
        <v>788934.86</v>
      </c>
      <c r="F880" s="3">
        <f t="shared" ref="F880" si="2470">F879+G880</f>
        <v>523249.29118033772</v>
      </c>
      <c r="G880" s="3">
        <f t="shared" ref="G880" si="2471">(C880-D880)/((E880-C880+D880)/F879)</f>
        <v>0</v>
      </c>
      <c r="H880" s="5">
        <f t="shared" ref="H880" si="2472">I880/J880</f>
        <v>0.93802904937970777</v>
      </c>
      <c r="I880" s="4">
        <v>3541.66</v>
      </c>
      <c r="J880" s="4">
        <v>3775.64</v>
      </c>
      <c r="K880" s="6">
        <f t="shared" ref="K880" si="2473">(B880-H880)</f>
        <v>0.56973192287184149</v>
      </c>
    </row>
    <row r="881" spans="1:11" x14ac:dyDescent="0.2">
      <c r="A881" s="21">
        <v>45404</v>
      </c>
      <c r="B881" s="14">
        <f t="shared" ref="B881" si="2474">E881/F881</f>
        <v>1.5114578907808347</v>
      </c>
      <c r="C881" s="3">
        <v>0</v>
      </c>
      <c r="D881" s="3">
        <v>0</v>
      </c>
      <c r="E881" s="3">
        <v>790869.27</v>
      </c>
      <c r="F881" s="3">
        <f t="shared" ref="F881" si="2475">F880+G881</f>
        <v>523249.29118033772</v>
      </c>
      <c r="G881" s="3">
        <f t="shared" ref="G881" si="2476">(C881-D881)/((E881-C881+D881)/F880)</f>
        <v>0</v>
      </c>
      <c r="H881" s="5">
        <f t="shared" ref="H881" si="2477">I881/J881</f>
        <v>0.9351792014069138</v>
      </c>
      <c r="I881" s="4">
        <v>3530.9</v>
      </c>
      <c r="J881" s="4">
        <v>3775.64</v>
      </c>
      <c r="K881" s="6">
        <f t="shared" ref="K881" si="2478">(B881-H881)</f>
        <v>0.5762786893739209</v>
      </c>
    </row>
    <row r="882" spans="1:11" x14ac:dyDescent="0.2">
      <c r="A882" s="21">
        <v>45405</v>
      </c>
      <c r="B882" s="14">
        <f t="shared" ref="B882" si="2479">E882/F882</f>
        <v>1.5042408337037356</v>
      </c>
      <c r="C882" s="3">
        <v>0</v>
      </c>
      <c r="D882" s="3">
        <v>0</v>
      </c>
      <c r="E882" s="3">
        <v>787092.95</v>
      </c>
      <c r="F882" s="3">
        <f t="shared" ref="F882" si="2480">F881+G882</f>
        <v>523249.29118033772</v>
      </c>
      <c r="G882" s="3">
        <f t="shared" ref="G882" si="2481">(C882-D882)/((E882-C882+D882)/F881)</f>
        <v>0</v>
      </c>
      <c r="H882" s="5">
        <f t="shared" ref="H882" si="2482">I882/J882</f>
        <v>0.9286425612611372</v>
      </c>
      <c r="I882" s="4">
        <v>3506.22</v>
      </c>
      <c r="J882" s="4">
        <v>3775.64</v>
      </c>
      <c r="K882" s="6">
        <f t="shared" ref="K882" si="2483">(B882-H882)</f>
        <v>0.57559827244259842</v>
      </c>
    </row>
    <row r="883" spans="1:11" x14ac:dyDescent="0.2">
      <c r="A883" s="21">
        <v>45406</v>
      </c>
      <c r="B883" s="14">
        <f t="shared" ref="B883" si="2484">E883/F883</f>
        <v>1.5041877232638969</v>
      </c>
      <c r="C883" s="3">
        <v>0</v>
      </c>
      <c r="D883" s="3">
        <v>0</v>
      </c>
      <c r="E883" s="3">
        <v>787065.16</v>
      </c>
      <c r="F883" s="3">
        <f t="shared" ref="F883" si="2485">F882+G883</f>
        <v>523249.29118033772</v>
      </c>
      <c r="G883" s="3">
        <f t="shared" ref="G883" si="2486">(C883-D883)/((E883-C883+D883)/F882)</f>
        <v>0</v>
      </c>
      <c r="H883" s="5">
        <f t="shared" ref="H883" si="2487">I883/J883</f>
        <v>0.93272133995825879</v>
      </c>
      <c r="I883" s="4">
        <v>3521.62</v>
      </c>
      <c r="J883" s="4">
        <v>3775.64</v>
      </c>
      <c r="K883" s="6">
        <f t="shared" ref="K883" si="2488">(B883-H883)</f>
        <v>0.57146638330563815</v>
      </c>
    </row>
    <row r="884" spans="1:11" x14ac:dyDescent="0.2">
      <c r="A884" s="21">
        <v>45407</v>
      </c>
      <c r="B884" s="14">
        <f t="shared" ref="B884" si="2489">E884/F884</f>
        <v>1.5044367823686038</v>
      </c>
      <c r="C884" s="3">
        <v>0</v>
      </c>
      <c r="D884" s="3">
        <v>0</v>
      </c>
      <c r="E884" s="3">
        <v>787195.48</v>
      </c>
      <c r="F884" s="3">
        <f t="shared" ref="F884" si="2490">F883+G884</f>
        <v>523249.29118033772</v>
      </c>
      <c r="G884" s="3">
        <f t="shared" ref="G884" si="2491">(C884-D884)/((E884-C884+D884)/F883)</f>
        <v>0</v>
      </c>
      <c r="H884" s="5">
        <f t="shared" ref="H884" si="2492">I884/J884</f>
        <v>0.93501499083599082</v>
      </c>
      <c r="I884" s="4">
        <v>3530.28</v>
      </c>
      <c r="J884" s="4">
        <v>3775.64</v>
      </c>
      <c r="K884" s="6">
        <f t="shared" ref="K884" si="2493">(B884-H884)</f>
        <v>0.56942179153261296</v>
      </c>
    </row>
    <row r="885" spans="1:11" x14ac:dyDescent="0.2">
      <c r="A885" s="21">
        <v>45408</v>
      </c>
      <c r="B885" s="14">
        <f t="shared" ref="B885" si="2494">E885/F885</f>
        <v>1.5180987980091301</v>
      </c>
      <c r="C885" s="3">
        <v>0</v>
      </c>
      <c r="D885" s="3">
        <v>0</v>
      </c>
      <c r="E885" s="3">
        <v>794344.12</v>
      </c>
      <c r="F885" s="3">
        <f t="shared" ref="F885" si="2495">F884+G885</f>
        <v>523249.29118033772</v>
      </c>
      <c r="G885" s="3">
        <f t="shared" ref="G885" si="2496">(C885-D885)/((E885-C885+D885)/F884)</f>
        <v>0</v>
      </c>
      <c r="H885" s="5">
        <f t="shared" ref="H885" si="2497">I885/J885</f>
        <v>0.94931455329427594</v>
      </c>
      <c r="I885" s="4">
        <v>3584.27</v>
      </c>
      <c r="J885" s="4">
        <v>3775.64</v>
      </c>
      <c r="K885" s="6">
        <f t="shared" ref="K885" si="2498">(B885-H885)</f>
        <v>0.56878424471485411</v>
      </c>
    </row>
    <row r="886" spans="1:11" x14ac:dyDescent="0.2">
      <c r="A886" s="21">
        <v>45411</v>
      </c>
      <c r="B886" s="14">
        <f t="shared" ref="B886" si="2499">E886/F886</f>
        <v>1.5344788679766708</v>
      </c>
      <c r="C886" s="3">
        <v>0</v>
      </c>
      <c r="D886" s="3">
        <v>0</v>
      </c>
      <c r="E886" s="3">
        <v>802914.98</v>
      </c>
      <c r="F886" s="3">
        <f t="shared" ref="F886" si="2500">F885+G886</f>
        <v>523249.29118033772</v>
      </c>
      <c r="G886" s="3">
        <f t="shared" ref="G886" si="2501">(C886-D886)/((E886-C886+D886)/F885)</f>
        <v>0</v>
      </c>
      <c r="H886" s="5">
        <f t="shared" ref="H886" si="2502">I886/J886</f>
        <v>0.95981343560297061</v>
      </c>
      <c r="I886" s="4">
        <v>3623.91</v>
      </c>
      <c r="J886" s="4">
        <v>3775.64</v>
      </c>
      <c r="K886" s="6">
        <f t="shared" ref="K886" si="2503">(B886-H886)</f>
        <v>0.57466543237370016</v>
      </c>
    </row>
    <row r="887" spans="1:11" x14ac:dyDescent="0.2">
      <c r="A887" s="21">
        <v>45412</v>
      </c>
      <c r="B887" s="14">
        <f t="shared" ref="B887" si="2504">E887/F887</f>
        <v>1.5407806060880818</v>
      </c>
      <c r="C887" s="3">
        <v>0</v>
      </c>
      <c r="D887" s="3">
        <v>0</v>
      </c>
      <c r="E887" s="3">
        <v>806212.36</v>
      </c>
      <c r="F887" s="3">
        <f t="shared" ref="F887" si="2505">F886+G887</f>
        <v>523249.29118033772</v>
      </c>
      <c r="G887" s="3">
        <f t="shared" ref="G887" si="2506">(C887-D887)/((E887-C887+D887)/F886)</f>
        <v>0</v>
      </c>
      <c r="H887" s="5">
        <f t="shared" ref="H887" si="2507">I887/J887</f>
        <v>0.9546434511764893</v>
      </c>
      <c r="I887" s="4">
        <v>3604.39</v>
      </c>
      <c r="J887" s="4">
        <v>3775.64</v>
      </c>
      <c r="K887" s="6">
        <f t="shared" ref="K887" si="2508">(B887-H887)</f>
        <v>0.58613715491159246</v>
      </c>
    </row>
    <row r="888" spans="1:11" x14ac:dyDescent="0.2">
      <c r="A888" s="21">
        <v>45418</v>
      </c>
      <c r="B888" s="14">
        <f t="shared" ref="B888" si="2509">E888/F888</f>
        <v>1.5650649390325877</v>
      </c>
      <c r="C888" s="3">
        <v>0</v>
      </c>
      <c r="D888" s="3">
        <v>0</v>
      </c>
      <c r="E888" s="3">
        <v>818919.12</v>
      </c>
      <c r="F888" s="3">
        <f t="shared" ref="F888" si="2510">F887+G888</f>
        <v>523249.29118033772</v>
      </c>
      <c r="G888" s="3">
        <f t="shared" ref="G888" si="2511">(C888-D888)/((E888-C888+D888)/F887)</f>
        <v>0</v>
      </c>
      <c r="H888" s="5">
        <f t="shared" ref="H888" si="2512">I888/J888</f>
        <v>0.9688105857549979</v>
      </c>
      <c r="I888" s="4">
        <v>3657.88</v>
      </c>
      <c r="J888" s="4">
        <v>3775.64</v>
      </c>
      <c r="K888" s="6">
        <f t="shared" ref="K888" si="2513">(B888-H888)</f>
        <v>0.5962543532775898</v>
      </c>
    </row>
    <row r="889" spans="1:11" x14ac:dyDescent="0.2">
      <c r="A889" s="21">
        <v>45419</v>
      </c>
      <c r="B889" s="14">
        <f t="shared" ref="B889" si="2514">E889/F889</f>
        <v>1.5666833645407994</v>
      </c>
      <c r="C889" s="3">
        <v>0</v>
      </c>
      <c r="D889" s="3">
        <v>0</v>
      </c>
      <c r="E889" s="3">
        <v>819765.96</v>
      </c>
      <c r="F889" s="3">
        <f t="shared" ref="F889" si="2515">F888+G889</f>
        <v>523249.29118033772</v>
      </c>
      <c r="G889" s="3">
        <f t="shared" ref="G889" si="2516">(C889-D889)/((E889-C889+D889)/F888)</f>
        <v>0</v>
      </c>
      <c r="H889" s="5">
        <f t="shared" ref="H889" si="2517">I889/J889</f>
        <v>0.96910987276329319</v>
      </c>
      <c r="I889" s="4">
        <v>3659.01</v>
      </c>
      <c r="J889" s="4">
        <v>3775.64</v>
      </c>
      <c r="K889" s="6">
        <f t="shared" ref="K889" si="2518">(B889-H889)</f>
        <v>0.59757349177750618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64"/>
  <sheetViews>
    <sheetView workbookViewId="0">
      <pane ySplit="1" topLeftCell="A231" activePane="bottomLeft" state="frozen"/>
      <selection pane="bottomLeft" activeCell="E265" sqref="E265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  <row r="237" spans="1:11" x14ac:dyDescent="0.2">
      <c r="A237" s="10">
        <v>45363</v>
      </c>
      <c r="B237" s="2">
        <f t="shared" ref="B237" si="1088">E237/F237</f>
        <v>0.85487027284704986</v>
      </c>
      <c r="C237" s="3">
        <v>0</v>
      </c>
      <c r="D237" s="3">
        <v>0</v>
      </c>
      <c r="E237" s="3">
        <v>55896.27</v>
      </c>
      <c r="F237" s="4">
        <f t="shared" ref="F237" si="1089">F236+G237</f>
        <v>65385.675201739934</v>
      </c>
      <c r="G237" s="3">
        <f t="shared" ref="G237" si="1090">(C237-D237)/((E237-C237+D237)/F236)</f>
        <v>0</v>
      </c>
      <c r="H237" s="5">
        <f t="shared" ref="H237" si="1091">I237/J237</f>
        <v>0.93367574694267375</v>
      </c>
      <c r="I237" s="4">
        <v>3597.49</v>
      </c>
      <c r="J237" s="4">
        <v>3853.04</v>
      </c>
      <c r="K237" s="6">
        <f t="shared" ref="K237" si="1092">(B237-H237)</f>
        <v>-7.8805474095623884E-2</v>
      </c>
    </row>
    <row r="238" spans="1:11" x14ac:dyDescent="0.2">
      <c r="A238" s="10">
        <v>45364</v>
      </c>
      <c r="B238" s="2">
        <f t="shared" ref="B238" si="1093">E238/F238</f>
        <v>0.84472126088146959</v>
      </c>
      <c r="C238" s="3">
        <v>0</v>
      </c>
      <c r="D238" s="3">
        <v>0</v>
      </c>
      <c r="E238" s="3">
        <v>55232.67</v>
      </c>
      <c r="F238" s="4">
        <f t="shared" ref="F238" si="1094">F237+G238</f>
        <v>65385.675201739934</v>
      </c>
      <c r="G238" s="3">
        <f t="shared" ref="G238" si="1095">(C238-D238)/((E238-C238+D238)/F237)</f>
        <v>0</v>
      </c>
      <c r="H238" s="5">
        <f t="shared" ref="H238" si="1096">I238/J238</f>
        <v>0.92715362415131952</v>
      </c>
      <c r="I238" s="4">
        <v>3572.36</v>
      </c>
      <c r="J238" s="4">
        <v>3853.04</v>
      </c>
      <c r="K238" s="6">
        <f t="shared" ref="K238" si="1097">(B238-H238)</f>
        <v>-8.2432363269849929E-2</v>
      </c>
    </row>
    <row r="239" spans="1:11" x14ac:dyDescent="0.2">
      <c r="A239" s="10">
        <v>45366</v>
      </c>
      <c r="B239" s="2">
        <f t="shared" ref="B239" si="1098">E239/F239</f>
        <v>0.84715298617159507</v>
      </c>
      <c r="C239" s="3">
        <v>0</v>
      </c>
      <c r="D239" s="3">
        <v>0</v>
      </c>
      <c r="E239" s="3">
        <v>55391.67</v>
      </c>
      <c r="F239" s="4">
        <f t="shared" ref="F239" si="1099">F238+G239</f>
        <v>65385.675201739934</v>
      </c>
      <c r="G239" s="3">
        <f t="shared" ref="G239" si="1100">(C239-D239)/((E239-C239+D239)/F238)</f>
        <v>0</v>
      </c>
      <c r="H239" s="5">
        <f t="shared" ref="H239" si="1101">I239/J239</f>
        <v>0.92653852542408066</v>
      </c>
      <c r="I239" s="4">
        <v>3569.99</v>
      </c>
      <c r="J239" s="4">
        <v>3853.04</v>
      </c>
      <c r="K239" s="6">
        <f t="shared" ref="K239" si="1102">(B239-H239)</f>
        <v>-7.9385539252485593E-2</v>
      </c>
    </row>
    <row r="240" spans="1:11" x14ac:dyDescent="0.2">
      <c r="A240" s="10">
        <v>45369</v>
      </c>
      <c r="B240" s="2">
        <f t="shared" ref="B240" si="1103">E240/F240</f>
        <v>0.85112790880102573</v>
      </c>
      <c r="C240" s="3">
        <v>0</v>
      </c>
      <c r="D240" s="3">
        <v>0</v>
      </c>
      <c r="E240" s="3">
        <v>55651.572999999997</v>
      </c>
      <c r="F240" s="4">
        <f t="shared" ref="F240" si="1104">F239+G240</f>
        <v>65385.675201739934</v>
      </c>
      <c r="G240" s="3">
        <f t="shared" ref="G240" si="1105">(C240-D240)/((E240-C240+D240)/F239)</f>
        <v>0</v>
      </c>
      <c r="H240" s="5">
        <f t="shared" ref="H240" si="1106">I240/J240</f>
        <v>0.93524334032348488</v>
      </c>
      <c r="I240" s="4">
        <v>3603.53</v>
      </c>
      <c r="J240" s="4">
        <v>3853.04</v>
      </c>
      <c r="K240" s="6">
        <f t="shared" ref="K240" si="1107">(B240-H240)</f>
        <v>-8.411543152245915E-2</v>
      </c>
    </row>
    <row r="241" spans="1:11" x14ac:dyDescent="0.2">
      <c r="A241" s="10">
        <v>45370</v>
      </c>
      <c r="B241" s="2">
        <f t="shared" ref="B241" si="1108">E241/F241</f>
        <v>0.83870541721561531</v>
      </c>
      <c r="C241" s="3">
        <v>0</v>
      </c>
      <c r="D241" s="3">
        <v>0</v>
      </c>
      <c r="E241" s="3">
        <v>54839.32</v>
      </c>
      <c r="F241" s="4">
        <f t="shared" ref="F241" si="1109">F240+G241</f>
        <v>65385.675201739934</v>
      </c>
      <c r="G241" s="3">
        <f t="shared" ref="G241" si="1110">(C241-D241)/((E241-C241+D241)/F240)</f>
        <v>0</v>
      </c>
      <c r="H241" s="5">
        <f t="shared" ref="H241" si="1111">I241/J241</f>
        <v>0.92852137532960988</v>
      </c>
      <c r="I241" s="4">
        <v>3577.63</v>
      </c>
      <c r="J241" s="4">
        <v>3853.04</v>
      </c>
      <c r="K241" s="6">
        <f t="shared" ref="K241" si="1112">(B241-H241)</f>
        <v>-8.9815958113994565E-2</v>
      </c>
    </row>
    <row r="242" spans="1:11" x14ac:dyDescent="0.2">
      <c r="A242" s="10">
        <v>45371</v>
      </c>
      <c r="B242" s="2">
        <f t="shared" ref="B242" si="1113">E242/F242</f>
        <v>0.83443536878163405</v>
      </c>
      <c r="C242" s="3">
        <v>0</v>
      </c>
      <c r="D242" s="3">
        <v>0</v>
      </c>
      <c r="E242" s="3">
        <v>54560.12</v>
      </c>
      <c r="F242" s="4">
        <f t="shared" ref="F242" si="1114">F241+G242</f>
        <v>65385.675201739934</v>
      </c>
      <c r="G242" s="3">
        <f t="shared" ref="G242" si="1115">(C242-D242)/((E242-C242+D242)/F241)</f>
        <v>0</v>
      </c>
      <c r="H242" s="5">
        <f t="shared" ref="H242" si="1116">I242/J242</f>
        <v>0.93053277412121338</v>
      </c>
      <c r="I242" s="4">
        <v>3585.38</v>
      </c>
      <c r="J242" s="4">
        <v>3853.04</v>
      </c>
      <c r="K242" s="6">
        <f t="shared" ref="K242" si="1117">(B242-H242)</f>
        <v>-9.6097405339579334E-2</v>
      </c>
    </row>
    <row r="243" spans="1:11" x14ac:dyDescent="0.2">
      <c r="A243" s="10">
        <v>45372</v>
      </c>
      <c r="B243" s="2">
        <f t="shared" ref="B243" si="1118">E243/F243</f>
        <v>0.83289527609788783</v>
      </c>
      <c r="C243" s="3">
        <v>0</v>
      </c>
      <c r="D243" s="3">
        <v>0</v>
      </c>
      <c r="E243" s="3">
        <v>54459.42</v>
      </c>
      <c r="F243" s="4">
        <f t="shared" ref="F243" si="1119">F242+G243</f>
        <v>65385.675201739934</v>
      </c>
      <c r="G243" s="3">
        <f t="shared" ref="G243" si="1120">(C243-D243)/((E243-C243+D243)/F242)</f>
        <v>0</v>
      </c>
      <c r="H243" s="5">
        <f t="shared" ref="H243" si="1121">I243/J243</f>
        <v>0.92941936756431287</v>
      </c>
      <c r="I243" s="4">
        <v>3581.09</v>
      </c>
      <c r="J243" s="4">
        <v>3853.04</v>
      </c>
      <c r="K243" s="6">
        <f t="shared" ref="K243" si="1122">(B243-H243)</f>
        <v>-9.6524091466425044E-2</v>
      </c>
    </row>
    <row r="244" spans="1:11" x14ac:dyDescent="0.2">
      <c r="A244" s="10">
        <v>45373</v>
      </c>
      <c r="B244" s="2">
        <f t="shared" ref="B244" si="1123">E244/F244</f>
        <v>0.8169085940490316</v>
      </c>
      <c r="C244" s="3">
        <v>0</v>
      </c>
      <c r="D244" s="3">
        <v>0</v>
      </c>
      <c r="E244" s="3">
        <v>53414.12</v>
      </c>
      <c r="F244" s="4">
        <f t="shared" ref="F244" si="1124">F243+G244</f>
        <v>65385.675201739934</v>
      </c>
      <c r="G244" s="3">
        <f t="shared" ref="G244" si="1125">(C244-D244)/((E244-C244+D244)/F243)</f>
        <v>0</v>
      </c>
      <c r="H244" s="5">
        <f t="shared" ref="H244" si="1126">I244/J244</f>
        <v>0.92005273757863926</v>
      </c>
      <c r="I244" s="4">
        <v>3545</v>
      </c>
      <c r="J244" s="4">
        <v>3853.04</v>
      </c>
      <c r="K244" s="6">
        <f t="shared" ref="K244" si="1127">(B244-H244)</f>
        <v>-0.10314414352960766</v>
      </c>
    </row>
    <row r="245" spans="1:11" x14ac:dyDescent="0.2">
      <c r="A245" s="10">
        <v>45376</v>
      </c>
      <c r="B245" s="2">
        <f t="shared" ref="B245" si="1128">E245/F245</f>
        <v>0.8140807575324015</v>
      </c>
      <c r="C245" s="3">
        <v>0</v>
      </c>
      <c r="D245" s="3">
        <v>0</v>
      </c>
      <c r="E245" s="3">
        <v>53229.22</v>
      </c>
      <c r="F245" s="4">
        <f t="shared" ref="F245" si="1129">F244+G245</f>
        <v>65385.675201739934</v>
      </c>
      <c r="G245" s="3">
        <f t="shared" ref="G245" si="1130">(C245-D245)/((E245-C245+D245)/F244)</f>
        <v>0</v>
      </c>
      <c r="H245" s="5">
        <f t="shared" ref="H245" si="1131">I245/J245</f>
        <v>0.91505927786890362</v>
      </c>
      <c r="I245" s="4">
        <v>3525.76</v>
      </c>
      <c r="J245" s="4">
        <v>3853.04</v>
      </c>
      <c r="K245" s="6">
        <f t="shared" ref="K245" si="1132">(B245-H245)</f>
        <v>-0.10097852033650212</v>
      </c>
    </row>
    <row r="246" spans="1:11" x14ac:dyDescent="0.2">
      <c r="A246" s="10">
        <v>45377</v>
      </c>
      <c r="B246" s="2">
        <f t="shared" ref="B246" si="1133">E246/F246</f>
        <v>0.82122146531831075</v>
      </c>
      <c r="C246" s="3">
        <v>0</v>
      </c>
      <c r="D246" s="3">
        <v>0</v>
      </c>
      <c r="E246" s="3">
        <v>53696.12</v>
      </c>
      <c r="F246" s="4">
        <f t="shared" ref="F246:F251" si="1134">F245+G246</f>
        <v>65385.675201739934</v>
      </c>
      <c r="G246" s="3">
        <f t="shared" ref="G246:G251" si="1135">(C246-D246)/((E246-C246+D246)/F245)</f>
        <v>0</v>
      </c>
      <c r="H246" s="5">
        <f t="shared" ref="H246" si="1136">I246/J246</f>
        <v>0.91972831841870317</v>
      </c>
      <c r="I246" s="4">
        <v>3543.75</v>
      </c>
      <c r="J246" s="4">
        <v>3853.04</v>
      </c>
      <c r="K246" s="6">
        <f t="shared" ref="K246" si="1137">(B246-H246)</f>
        <v>-9.8506853100392422E-2</v>
      </c>
    </row>
    <row r="247" spans="1:11" x14ac:dyDescent="0.2">
      <c r="A247" s="10">
        <v>45378</v>
      </c>
      <c r="B247" s="2">
        <f t="shared" ref="B247" si="1138">E247/F247</f>
        <v>0.8108828093678403</v>
      </c>
      <c r="C247" s="3">
        <v>0</v>
      </c>
      <c r="D247" s="3">
        <v>0</v>
      </c>
      <c r="E247" s="3">
        <v>53020.12</v>
      </c>
      <c r="F247" s="4">
        <f t="shared" si="1134"/>
        <v>65385.675201739934</v>
      </c>
      <c r="G247" s="3">
        <f t="shared" si="1135"/>
        <v>0</v>
      </c>
      <c r="H247" s="5">
        <f t="shared" ref="H247" si="1139">I247/J247</f>
        <v>0.90909775138591864</v>
      </c>
      <c r="I247" s="4">
        <v>3502.79</v>
      </c>
      <c r="J247" s="4">
        <v>3853.04</v>
      </c>
      <c r="K247" s="6">
        <f t="shared" ref="K247" si="1140">(B247-H247)</f>
        <v>-9.8214942018078344E-2</v>
      </c>
    </row>
    <row r="248" spans="1:11" x14ac:dyDescent="0.2">
      <c r="A248" s="10">
        <v>45380</v>
      </c>
      <c r="B248" s="2">
        <f t="shared" ref="B248" si="1141">E248/F248</f>
        <v>0.81280157826657695</v>
      </c>
      <c r="C248" s="3">
        <v>0</v>
      </c>
      <c r="D248" s="3">
        <v>0</v>
      </c>
      <c r="E248" s="3">
        <v>53145.58</v>
      </c>
      <c r="F248" s="4">
        <f t="shared" si="1134"/>
        <v>65385.675201739934</v>
      </c>
      <c r="G248" s="3">
        <f t="shared" si="1135"/>
        <v>0</v>
      </c>
      <c r="H248" s="5">
        <f t="shared" ref="H248" si="1142">I248/J248</f>
        <v>0.91810103191246395</v>
      </c>
      <c r="I248" s="4">
        <v>3537.48</v>
      </c>
      <c r="J248" s="4">
        <v>3853.04</v>
      </c>
      <c r="K248" s="6">
        <f t="shared" ref="K248" si="1143">(B248-H248)</f>
        <v>-0.105299453645887</v>
      </c>
    </row>
    <row r="249" spans="1:11" x14ac:dyDescent="0.2">
      <c r="A249" s="10">
        <v>45385</v>
      </c>
      <c r="B249" s="2">
        <f t="shared" ref="B249" si="1144">E249/F249</f>
        <v>0.81328792332460198</v>
      </c>
      <c r="C249" s="3">
        <v>0</v>
      </c>
      <c r="D249" s="3">
        <v>0</v>
      </c>
      <c r="E249" s="3">
        <v>53177.38</v>
      </c>
      <c r="F249" s="4">
        <f t="shared" si="1134"/>
        <v>65385.675201739934</v>
      </c>
      <c r="G249" s="3">
        <f t="shared" si="1135"/>
        <v>0</v>
      </c>
      <c r="H249" s="5">
        <f t="shared" ref="H249" si="1145">I249/J249</f>
        <v>0.92597014305587277</v>
      </c>
      <c r="I249" s="4">
        <v>3567.8</v>
      </c>
      <c r="J249" s="4">
        <v>3853.04</v>
      </c>
      <c r="K249" s="6">
        <f t="shared" ref="K249" si="1146">(B249-H249)</f>
        <v>-0.11268221973127079</v>
      </c>
    </row>
    <row r="250" spans="1:11" x14ac:dyDescent="0.2">
      <c r="A250" s="10">
        <v>45392</v>
      </c>
      <c r="B250" s="2">
        <f t="shared" ref="B250" si="1147">E250/F250</f>
        <v>0.7864120060143035</v>
      </c>
      <c r="C250" s="3">
        <v>0</v>
      </c>
      <c r="D250" s="3">
        <v>0</v>
      </c>
      <c r="E250" s="3">
        <v>51420.08</v>
      </c>
      <c r="F250" s="4">
        <f t="shared" si="1134"/>
        <v>65385.675201739934</v>
      </c>
      <c r="G250" s="3">
        <f t="shared" si="1135"/>
        <v>0</v>
      </c>
      <c r="H250" s="5">
        <f t="shared" ref="H250" si="1148">I250/J250</f>
        <v>0.9095960592155804</v>
      </c>
      <c r="I250" s="4">
        <v>3504.71</v>
      </c>
      <c r="J250" s="4">
        <v>3853.04</v>
      </c>
      <c r="K250" s="6">
        <f t="shared" ref="K250" si="1149">(B250-H250)</f>
        <v>-0.1231840532012769</v>
      </c>
    </row>
    <row r="251" spans="1:11" x14ac:dyDescent="0.2">
      <c r="A251" s="10">
        <v>45393</v>
      </c>
      <c r="B251" s="2">
        <f t="shared" ref="B251" si="1150">E251/F251</f>
        <v>0.78148126240715599</v>
      </c>
      <c r="C251" s="3">
        <v>0</v>
      </c>
      <c r="D251" s="3">
        <v>0</v>
      </c>
      <c r="E251" s="3">
        <v>51097.68</v>
      </c>
      <c r="F251" s="4">
        <f t="shared" si="1134"/>
        <v>65385.675201739934</v>
      </c>
      <c r="G251" s="3">
        <f t="shared" si="1135"/>
        <v>0</v>
      </c>
      <c r="H251" s="5">
        <f t="shared" ref="H251" si="1151">I251/J251</f>
        <v>0.90947407761144439</v>
      </c>
      <c r="I251" s="4">
        <v>3504.24</v>
      </c>
      <c r="J251" s="4">
        <v>3853.04</v>
      </c>
      <c r="K251" s="6">
        <f t="shared" ref="K251" si="1152">(B251-H251)</f>
        <v>-0.1279928152042884</v>
      </c>
    </row>
    <row r="252" spans="1:11" x14ac:dyDescent="0.2">
      <c r="A252" s="10">
        <v>45397</v>
      </c>
      <c r="B252" s="2">
        <f t="shared" ref="B252" si="1153">E252/F252</f>
        <v>0.78339911367370785</v>
      </c>
      <c r="C252" s="3">
        <v>0</v>
      </c>
      <c r="D252" s="3">
        <v>0</v>
      </c>
      <c r="E252" s="3">
        <v>51223.08</v>
      </c>
      <c r="F252" s="4">
        <f t="shared" ref="F252" si="1154">F251+G252</f>
        <v>65385.675201739934</v>
      </c>
      <c r="G252" s="3">
        <f t="shared" ref="G252" si="1155">(C252-D252)/((E252-C252+D252)/F251)</f>
        <v>0</v>
      </c>
      <c r="H252" s="5">
        <f t="shared" ref="H252" si="1156">I252/J252</f>
        <v>0.92111164171667048</v>
      </c>
      <c r="I252" s="4">
        <v>3549.08</v>
      </c>
      <c r="J252" s="4">
        <v>3853.04</v>
      </c>
      <c r="K252" s="6">
        <f t="shared" ref="K252" si="1157">(B252-H252)</f>
        <v>-0.13771252804296263</v>
      </c>
    </row>
    <row r="253" spans="1:11" x14ac:dyDescent="0.2">
      <c r="A253" s="10">
        <v>45398</v>
      </c>
      <c r="B253" s="2">
        <f t="shared" ref="B253" si="1158">E253/F253</f>
        <v>0.78108056301972661</v>
      </c>
      <c r="C253" s="3">
        <v>0</v>
      </c>
      <c r="D253" s="3">
        <v>0</v>
      </c>
      <c r="E253" s="3">
        <v>51071.48</v>
      </c>
      <c r="F253" s="4">
        <f t="shared" ref="F253" si="1159">F252+G253</f>
        <v>65385.675201739934</v>
      </c>
      <c r="G253" s="3">
        <f t="shared" ref="G253" si="1160">(C253-D253)/((E253-C253+D253)/F252)</f>
        <v>0</v>
      </c>
      <c r="H253" s="5">
        <f t="shared" ref="H253" si="1161">I253/J253</f>
        <v>0.91125708531445304</v>
      </c>
      <c r="I253" s="4">
        <v>3511.11</v>
      </c>
      <c r="J253" s="4">
        <v>3853.04</v>
      </c>
      <c r="K253" s="6">
        <f t="shared" ref="K253" si="1162">(B253-H253)</f>
        <v>-0.13017652229472643</v>
      </c>
    </row>
    <row r="254" spans="1:11" x14ac:dyDescent="0.2">
      <c r="A254" s="10">
        <v>45400</v>
      </c>
      <c r="B254" s="2">
        <f t="shared" ref="B254" si="1163">E254/F254</f>
        <v>0.80246598109005629</v>
      </c>
      <c r="C254" s="3">
        <v>0</v>
      </c>
      <c r="D254" s="3">
        <v>0</v>
      </c>
      <c r="E254" s="3">
        <v>52469.78</v>
      </c>
      <c r="F254" s="4">
        <f t="shared" ref="F254" si="1164">F253+G254</f>
        <v>65385.675201739934</v>
      </c>
      <c r="G254" s="3">
        <f t="shared" ref="G254" si="1165">(C254-D254)/((E254-C254+D254)/F253)</f>
        <v>0</v>
      </c>
      <c r="H254" s="5">
        <f t="shared" ref="H254" si="1166">I254/J254</f>
        <v>0.92648921371177051</v>
      </c>
      <c r="I254" s="4">
        <v>3569.8</v>
      </c>
      <c r="J254" s="4">
        <v>3853.04</v>
      </c>
      <c r="K254" s="6">
        <f t="shared" ref="K254" si="1167">(B254-H254)</f>
        <v>-0.12402323262171422</v>
      </c>
    </row>
    <row r="255" spans="1:11" x14ac:dyDescent="0.2">
      <c r="A255" s="10">
        <v>45401</v>
      </c>
      <c r="B255" s="2">
        <f t="shared" ref="B255" si="1168">E255/F255</f>
        <v>0.7926396697761845</v>
      </c>
      <c r="C255" s="3">
        <v>0</v>
      </c>
      <c r="D255" s="3">
        <v>0</v>
      </c>
      <c r="E255" s="3">
        <v>51827.28</v>
      </c>
      <c r="F255" s="4">
        <f t="shared" ref="F255" si="1169">F254+G255</f>
        <v>65385.675201739934</v>
      </c>
      <c r="G255" s="3">
        <f t="shared" ref="G255" si="1170">(C255-D255)/((E255-C255+D255)/F254)</f>
        <v>0</v>
      </c>
      <c r="H255" s="5">
        <f t="shared" ref="H255" si="1171">I255/J255</f>
        <v>0.91918588958329006</v>
      </c>
      <c r="I255" s="4">
        <v>3541.66</v>
      </c>
      <c r="J255" s="4">
        <v>3853.04</v>
      </c>
      <c r="K255" s="6">
        <f t="shared" ref="K255" si="1172">(B255-H255)</f>
        <v>-0.12654621980710556</v>
      </c>
    </row>
    <row r="256" spans="1:11" x14ac:dyDescent="0.2">
      <c r="A256" s="10">
        <v>45404</v>
      </c>
      <c r="B256" s="2">
        <f t="shared" ref="B256" si="1173">E256/F256</f>
        <v>0.79270390402913127</v>
      </c>
      <c r="C256" s="3">
        <v>0</v>
      </c>
      <c r="D256" s="3">
        <v>0</v>
      </c>
      <c r="E256" s="3">
        <v>51831.48</v>
      </c>
      <c r="F256" s="4">
        <f t="shared" ref="F256" si="1174">F255+G256</f>
        <v>65385.675201739934</v>
      </c>
      <c r="G256" s="3">
        <f t="shared" ref="G256" si="1175">(C256-D256)/((E256-C256+D256)/F255)</f>
        <v>0</v>
      </c>
      <c r="H256" s="5">
        <f t="shared" ref="H256" si="1176">I256/J256</f>
        <v>0.91639328945456056</v>
      </c>
      <c r="I256" s="4">
        <v>3530.9</v>
      </c>
      <c r="J256" s="4">
        <v>3853.04</v>
      </c>
      <c r="K256" s="6">
        <f t="shared" ref="K256" si="1177">(B256-H256)</f>
        <v>-0.12368938542542929</v>
      </c>
    </row>
    <row r="257" spans="1:11" x14ac:dyDescent="0.2">
      <c r="A257" s="10">
        <v>45405</v>
      </c>
      <c r="B257" s="2">
        <f t="shared" ref="B257" si="1178">E257/F257</f>
        <v>0.79204015008201523</v>
      </c>
      <c r="C257" s="3">
        <v>0</v>
      </c>
      <c r="D257" s="3">
        <v>0</v>
      </c>
      <c r="E257" s="3">
        <v>51788.08</v>
      </c>
      <c r="F257" s="4">
        <f t="shared" ref="F257" si="1179">F256+G257</f>
        <v>65385.675201739934</v>
      </c>
      <c r="G257" s="3">
        <f t="shared" ref="G257" si="1180">(C257-D257)/((E257-C257+D257)/F256)</f>
        <v>0</v>
      </c>
      <c r="H257" s="5">
        <f t="shared" ref="H257" si="1181">I257/J257</f>
        <v>0.9099879575607831</v>
      </c>
      <c r="I257" s="4">
        <v>3506.22</v>
      </c>
      <c r="J257" s="4">
        <v>3853.04</v>
      </c>
      <c r="K257" s="6">
        <f t="shared" ref="K257" si="1182">(B257-H257)</f>
        <v>-0.11794780747876787</v>
      </c>
    </row>
    <row r="258" spans="1:11" x14ac:dyDescent="0.2">
      <c r="A258" s="10">
        <v>45406</v>
      </c>
      <c r="B258" s="2">
        <f t="shared" ref="B258" si="1183">E258/F258</f>
        <v>0.78717669950176439</v>
      </c>
      <c r="C258" s="3">
        <v>0</v>
      </c>
      <c r="D258" s="3">
        <v>0</v>
      </c>
      <c r="E258" s="3">
        <v>51470.080000000002</v>
      </c>
      <c r="F258" s="4">
        <f t="shared" ref="F258" si="1184">F257+G258</f>
        <v>65385.675201739934</v>
      </c>
      <c r="G258" s="3">
        <f t="shared" ref="G258" si="1185">(C258-D258)/((E258-C258+D258)/F257)</f>
        <v>0</v>
      </c>
      <c r="H258" s="5">
        <f t="shared" ref="H258" si="1186">I258/J258</f>
        <v>0.91398480161119533</v>
      </c>
      <c r="I258" s="4">
        <v>3521.62</v>
      </c>
      <c r="J258" s="4">
        <v>3853.04</v>
      </c>
      <c r="K258" s="6">
        <f t="shared" ref="K258" si="1187">(B258-H258)</f>
        <v>-0.12680810210943094</v>
      </c>
    </row>
    <row r="259" spans="1:11" x14ac:dyDescent="0.2">
      <c r="A259" s="10">
        <v>45407</v>
      </c>
      <c r="B259" s="2">
        <f t="shared" ref="B259" si="1188">E259/F259</f>
        <v>0.78838491521195253</v>
      </c>
      <c r="C259" s="3">
        <v>0</v>
      </c>
      <c r="D259" s="3">
        <v>0</v>
      </c>
      <c r="E259" s="3">
        <v>51549.08</v>
      </c>
      <c r="F259" s="4">
        <f t="shared" ref="F259" si="1189">F258+G259</f>
        <v>65385.675201739934</v>
      </c>
      <c r="G259" s="3">
        <f t="shared" ref="G259" si="1190">(C259-D259)/((E259-C259+D259)/F258)</f>
        <v>0</v>
      </c>
      <c r="H259" s="5">
        <f t="shared" ref="H259" si="1191">I259/J259</f>
        <v>0.91623237755123232</v>
      </c>
      <c r="I259" s="4">
        <v>3530.28</v>
      </c>
      <c r="J259" s="4">
        <v>3853.04</v>
      </c>
      <c r="K259" s="6">
        <f t="shared" ref="K259" si="1192">(B259-H259)</f>
        <v>-0.12784746233927979</v>
      </c>
    </row>
    <row r="260" spans="1:11" x14ac:dyDescent="0.2">
      <c r="A260" s="10">
        <v>45408</v>
      </c>
      <c r="B260" s="2">
        <f t="shared" ref="B260" si="1193">E260/F260</f>
        <v>0.79992413993773648</v>
      </c>
      <c r="C260" s="3">
        <v>0</v>
      </c>
      <c r="D260" s="3">
        <v>0</v>
      </c>
      <c r="E260" s="3">
        <v>52303.58</v>
      </c>
      <c r="F260" s="4">
        <f t="shared" ref="F260" si="1194">F259+G260</f>
        <v>65385.675201739934</v>
      </c>
      <c r="G260" s="3">
        <f t="shared" ref="G260" si="1195">(C260-D260)/((E260-C260+D260)/F259)</f>
        <v>0</v>
      </c>
      <c r="H260" s="5">
        <f t="shared" ref="H260" si="1196">I260/J260</f>
        <v>0.93024468990719023</v>
      </c>
      <c r="I260" s="4">
        <v>3584.27</v>
      </c>
      <c r="J260" s="4">
        <v>3853.04</v>
      </c>
      <c r="K260" s="6">
        <f t="shared" ref="K260" si="1197">(B260-H260)</f>
        <v>-0.13032054996945375</v>
      </c>
    </row>
    <row r="261" spans="1:11" x14ac:dyDescent="0.2">
      <c r="A261" s="10">
        <v>45411</v>
      </c>
      <c r="B261" s="2">
        <f t="shared" ref="B261" si="1198">E261/F261</f>
        <v>0.8198551109949157</v>
      </c>
      <c r="C261" s="3">
        <v>0</v>
      </c>
      <c r="D261" s="3">
        <v>0</v>
      </c>
      <c r="E261" s="3">
        <v>53606.78</v>
      </c>
      <c r="F261" s="4">
        <f t="shared" ref="F261" si="1199">F260+G261</f>
        <v>65385.675201739934</v>
      </c>
      <c r="G261" s="3">
        <f t="shared" ref="G261" si="1200">(C261-D261)/((E261-C261+D261)/F260)</f>
        <v>0</v>
      </c>
      <c r="H261" s="5">
        <f t="shared" ref="H261" si="1201">I261/J261</f>
        <v>0.94053267030708221</v>
      </c>
      <c r="I261" s="4">
        <v>3623.91</v>
      </c>
      <c r="J261" s="4">
        <v>3853.04</v>
      </c>
      <c r="K261" s="6">
        <f t="shared" ref="K261" si="1202">(B261-H261)</f>
        <v>-0.1206775593121665</v>
      </c>
    </row>
    <row r="262" spans="1:11" x14ac:dyDescent="0.2">
      <c r="A262" s="10">
        <v>45412</v>
      </c>
      <c r="B262" s="2">
        <f t="shared" ref="B262" si="1203">E262/F262</f>
        <v>0.82113520789292516</v>
      </c>
      <c r="C262" s="3">
        <v>0</v>
      </c>
      <c r="D262" s="3">
        <v>0</v>
      </c>
      <c r="E262" s="3">
        <v>53690.48</v>
      </c>
      <c r="F262" s="4">
        <f t="shared" ref="F262" si="1204">F261+G262</f>
        <v>65385.675201739934</v>
      </c>
      <c r="G262" s="3">
        <f t="shared" ref="G262" si="1205">(C262-D262)/((E262-C262+D262)/F261)</f>
        <v>0</v>
      </c>
      <c r="H262" s="5">
        <f t="shared" ref="H262" si="1206">I262/J262</f>
        <v>0.93546654070552082</v>
      </c>
      <c r="I262" s="4">
        <v>3604.39</v>
      </c>
      <c r="J262" s="4">
        <v>3853.04</v>
      </c>
      <c r="K262" s="6">
        <f t="shared" ref="K262" si="1207">(B262-H262)</f>
        <v>-0.11433133281259567</v>
      </c>
    </row>
    <row r="263" spans="1:11" x14ac:dyDescent="0.2">
      <c r="A263" s="10">
        <v>45418</v>
      </c>
      <c r="B263" s="2">
        <f t="shared" ref="B263" si="1208">E263/F263</f>
        <v>0.83136221859422632</v>
      </c>
      <c r="C263" s="3">
        <v>0</v>
      </c>
      <c r="D263" s="3">
        <v>0</v>
      </c>
      <c r="E263" s="3">
        <v>54359.18</v>
      </c>
      <c r="F263" s="4">
        <f t="shared" ref="F263" si="1209">F262+G263</f>
        <v>65385.675201739934</v>
      </c>
      <c r="G263" s="3">
        <f t="shared" ref="G263" si="1210">(C263-D263)/((E263-C263+D263)/F262)</f>
        <v>0</v>
      </c>
      <c r="H263" s="5">
        <f t="shared" ref="H263" si="1211">I263/J263</f>
        <v>0.9493490853975044</v>
      </c>
      <c r="I263" s="4">
        <v>3657.88</v>
      </c>
      <c r="J263" s="4">
        <v>3853.04</v>
      </c>
      <c r="K263" s="6">
        <f t="shared" ref="K263" si="1212">(B263-H263)</f>
        <v>-0.11798686680327808</v>
      </c>
    </row>
    <row r="264" spans="1:11" x14ac:dyDescent="0.2">
      <c r="A264" s="10">
        <v>45419</v>
      </c>
      <c r="B264" s="2">
        <f t="shared" ref="B264" si="1213">E264/F264</f>
        <v>0.8296630696650884</v>
      </c>
      <c r="C264" s="3">
        <v>0</v>
      </c>
      <c r="D264" s="3">
        <v>0</v>
      </c>
      <c r="E264" s="3">
        <v>54248.08</v>
      </c>
      <c r="F264" s="4">
        <f t="shared" ref="F264" si="1214">F263+G264</f>
        <v>65385.675201739934</v>
      </c>
      <c r="G264" s="3">
        <f t="shared" ref="G264" si="1215">(C264-D264)/((E264-C264+D264)/F263)</f>
        <v>0</v>
      </c>
      <c r="H264" s="5">
        <f t="shared" ref="H264" si="1216">I264/J264</f>
        <v>0.94964236031808658</v>
      </c>
      <c r="I264" s="4">
        <v>3659.01</v>
      </c>
      <c r="J264" s="4">
        <v>3853.04</v>
      </c>
      <c r="K264" s="6">
        <f t="shared" ref="K264" si="1217">(B264-H264)</f>
        <v>-0.11997929065299817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2024-05-07T14:02:31Z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