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5122E21C-7D2A-4EF6-85F6-29786DB9433E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0" i="3" l="1"/>
  <c r="B270" i="3" s="1"/>
  <c r="G270" i="3"/>
  <c r="H270" i="3"/>
  <c r="G895" i="2"/>
  <c r="F895" i="2" s="1"/>
  <c r="B895" i="2" s="1"/>
  <c r="H895" i="2"/>
  <c r="G906" i="1"/>
  <c r="F906" i="1" s="1"/>
  <c r="B906" i="1" s="1"/>
  <c r="H906" i="1"/>
  <c r="G269" i="3"/>
  <c r="F269" i="3" s="1"/>
  <c r="B269" i="3" s="1"/>
  <c r="H269" i="3"/>
  <c r="F894" i="2"/>
  <c r="B894" i="2" s="1"/>
  <c r="G894" i="2"/>
  <c r="H894" i="2"/>
  <c r="G905" i="1"/>
  <c r="F905" i="1" s="1"/>
  <c r="B905" i="1" s="1"/>
  <c r="H905" i="1"/>
  <c r="G268" i="3"/>
  <c r="F268" i="3" s="1"/>
  <c r="B268" i="3" s="1"/>
  <c r="H268" i="3"/>
  <c r="G893" i="2"/>
  <c r="F893" i="2" s="1"/>
  <c r="B893" i="2" s="1"/>
  <c r="H893" i="2"/>
  <c r="G904" i="1"/>
  <c r="F904" i="1" s="1"/>
  <c r="B904" i="1" s="1"/>
  <c r="H904" i="1"/>
  <c r="G267" i="3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70" i="3" l="1"/>
  <c r="K895" i="2"/>
  <c r="K906" i="1"/>
  <c r="K269" i="3"/>
  <c r="K894" i="2"/>
  <c r="K905" i="1"/>
  <c r="K268" i="3"/>
  <c r="K893" i="2"/>
  <c r="K904" i="1"/>
  <c r="K267" i="3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<sst xmlns="http://schemas.openxmlformats.org/spreadsheetml/2006/main" count="33" uniqueCount="11">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</sst>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  <c:pt idx="902">
                  <c:v>1.6031072410915732</c:v>
                </c:pt>
                <c:pt idx="903">
                  <c:v>1.5662883374442718</c:v>
                </c:pt>
                <c:pt idx="904">
                  <c:v>1.5554379495697461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  <c:pt idx="904">
                  <c:v>45442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  <c:pt idx="902">
                  <c:v>0.97413153796442453</c:v>
                </c:pt>
                <c:pt idx="903">
                  <c:v>0.95387272091618913</c:v>
                </c:pt>
                <c:pt idx="904">
                  <c:v>0.95197370512019153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  <c:pt idx="891">
                  <c:v>1.5594473107824485</c:v>
                </c:pt>
                <c:pt idx="892">
                  <c:v>1.5171915822555662</c:v>
                </c:pt>
                <c:pt idx="893">
                  <c:v>1.5041221140015839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  <c:pt idx="893">
                  <c:v>45442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  <c:pt idx="891">
                  <c:v>0.97413153796442453</c:v>
                </c:pt>
                <c:pt idx="892">
                  <c:v>0.95387272091618913</c:v>
                </c:pt>
                <c:pt idx="893">
                  <c:v>0.95197370512019153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  <c:pt idx="266">
                  <c:v>0.83306595568428909</c:v>
                </c:pt>
                <c:pt idx="267">
                  <c:v>0.80925034171080878</c:v>
                </c:pt>
                <c:pt idx="268">
                  <c:v>0.80286820986446072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  <c:pt idx="268">
                  <c:v>45442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  <c:pt idx="266">
                  <c:v>0.95456315013599646</c:v>
                </c:pt>
                <c:pt idx="267">
                  <c:v>0.93471129290118971</c:v>
                </c:pt>
                <c:pt idx="268">
                  <c:v>0.9328504245997965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6"/>
  <sheetViews>
    <sheetView tabSelected="1" workbookViewId="0">
      <pane ySplit="1" topLeftCell="A876" activePane="bottomLeft" state="frozen"/>
      <selection pane="bottomLeft" activeCell="E907" sqref="E907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  <row r="904" spans="1:11" x14ac:dyDescent="0.2">
      <c r="A904" s="21">
        <v>45429</v>
      </c>
      <c r="B904" s="14">
        <f t="shared" ref="B904" si="829">E904/F904</f>
        <v>1.6031072410915732</v>
      </c>
      <c r="C904" s="3">
        <v>0</v>
      </c>
      <c r="D904" s="3">
        <v>0</v>
      </c>
      <c r="E904" s="3">
        <v>406138.98</v>
      </c>
      <c r="F904" s="3">
        <f t="shared" ref="F904" si="830">F903+G904</f>
        <v>253344.86027488438</v>
      </c>
      <c r="G904" s="3">
        <f t="shared" ref="G904" si="831">(C904-D904)/((E904-C904+D904)/F903)</f>
        <v>0</v>
      </c>
      <c r="H904" s="5">
        <f t="shared" ref="H904" si="832">I904/J904</f>
        <v>0.97413153796442453</v>
      </c>
      <c r="I904" s="4">
        <v>3677.97</v>
      </c>
      <c r="J904" s="4">
        <v>3775.64</v>
      </c>
      <c r="K904" s="6">
        <f t="shared" ref="K904" si="833">(B904-H904)</f>
        <v>0.62897570312714868</v>
      </c>
    </row>
    <row r="905" spans="1:11" x14ac:dyDescent="0.2">
      <c r="A905" s="21">
        <v>45436</v>
      </c>
      <c r="B905" s="14">
        <f t="shared" ref="B905" si="834">E905/F905</f>
        <v>1.5662883374442718</v>
      </c>
      <c r="C905" s="3">
        <v>0</v>
      </c>
      <c r="D905" s="3">
        <v>0</v>
      </c>
      <c r="E905" s="3">
        <v>396811.1</v>
      </c>
      <c r="F905" s="3">
        <f t="shared" ref="F905" si="835">F904+G905</f>
        <v>253344.86027488438</v>
      </c>
      <c r="G905" s="3">
        <f t="shared" ref="G905" si="836">(C905-D905)/((E905-C905+D905)/F904)</f>
        <v>0</v>
      </c>
      <c r="H905" s="5">
        <f t="shared" ref="H905" si="837">I905/J905</f>
        <v>0.95387272091618913</v>
      </c>
      <c r="I905" s="4">
        <v>3601.48</v>
      </c>
      <c r="J905" s="4">
        <v>3775.64</v>
      </c>
      <c r="K905" s="6">
        <f t="shared" ref="K905" si="838">(B905-H905)</f>
        <v>0.61241561652808263</v>
      </c>
    </row>
    <row r="906" spans="1:11" x14ac:dyDescent="0.2">
      <c r="A906" s="21">
        <v>45442</v>
      </c>
      <c r="B906" s="14">
        <f t="shared" ref="B906" si="839">E906/F906</f>
        <v>1.5554379495697461</v>
      </c>
      <c r="C906" s="3">
        <v>0</v>
      </c>
      <c r="D906" s="3">
        <v>0</v>
      </c>
      <c r="E906" s="3">
        <v>394062.21</v>
      </c>
      <c r="F906" s="3">
        <f t="shared" ref="F906" si="840">F905+G906</f>
        <v>253344.86027488438</v>
      </c>
      <c r="G906" s="3">
        <f t="shared" ref="G906" si="841">(C906-D906)/((E906-C906+D906)/F905)</f>
        <v>0</v>
      </c>
      <c r="H906" s="5">
        <f t="shared" ref="H906" si="842">I906/J906</f>
        <v>0.95197370512019153</v>
      </c>
      <c r="I906" s="4">
        <v>3594.31</v>
      </c>
      <c r="J906" s="4">
        <v>3775.64</v>
      </c>
      <c r="K906" s="6">
        <f t="shared" ref="K906" si="843">(B906-H906)</f>
        <v>0.6034642444495546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5"/>
  <sheetViews>
    <sheetView workbookViewId="0">
      <pane ySplit="1" topLeftCell="A865" activePane="bottomLeft" state="frozen"/>
      <selection pane="bottomLeft" activeCell="E896" sqref="E89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  <row r="893" spans="1:11" x14ac:dyDescent="0.2">
      <c r="A893" s="21">
        <v>45429</v>
      </c>
      <c r="B893" s="14">
        <f t="shared" ref="B893" si="2534">E893/F893</f>
        <v>1.5594473107824485</v>
      </c>
      <c r="C893" s="3">
        <v>0</v>
      </c>
      <c r="D893" s="3">
        <v>0</v>
      </c>
      <c r="E893" s="3">
        <v>815979.7</v>
      </c>
      <c r="F893" s="3">
        <f t="shared" ref="F893" si="2535">F892+G893</f>
        <v>523249.29118033772</v>
      </c>
      <c r="G893" s="3">
        <f t="shared" ref="G893" si="2536">(C893-D893)/((E893-C893+D893)/F892)</f>
        <v>0</v>
      </c>
      <c r="H893" s="5">
        <f t="shared" ref="H893" si="2537">I893/J893</f>
        <v>0.97413153796442453</v>
      </c>
      <c r="I893" s="4">
        <v>3677.97</v>
      </c>
      <c r="J893" s="4">
        <v>3775.64</v>
      </c>
      <c r="K893" s="6">
        <f t="shared" ref="K893" si="2538">(B893-H893)</f>
        <v>0.58531577281802394</v>
      </c>
    </row>
    <row r="894" spans="1:11" x14ac:dyDescent="0.2">
      <c r="A894" s="21">
        <v>45436</v>
      </c>
      <c r="B894" s="14">
        <f t="shared" ref="B894" si="2539">E894/F894</f>
        <v>1.5171915822555662</v>
      </c>
      <c r="C894" s="3">
        <v>0</v>
      </c>
      <c r="D894" s="3">
        <v>0</v>
      </c>
      <c r="E894" s="3">
        <v>793869.42</v>
      </c>
      <c r="F894" s="3">
        <f t="shared" ref="F894" si="2540">F893+G894</f>
        <v>523249.29118033772</v>
      </c>
      <c r="G894" s="3">
        <f t="shared" ref="G894" si="2541">(C894-D894)/((E894-C894+D894)/F893)</f>
        <v>0</v>
      </c>
      <c r="H894" s="5">
        <f t="shared" ref="H894" si="2542">I894/J894</f>
        <v>0.95387272091618913</v>
      </c>
      <c r="I894" s="4">
        <v>3601.48</v>
      </c>
      <c r="J894" s="4">
        <v>3775.64</v>
      </c>
      <c r="K894" s="6">
        <f t="shared" ref="K894" si="2543">(B894-H894)</f>
        <v>0.56331886133937703</v>
      </c>
    </row>
    <row r="895" spans="1:11" x14ac:dyDescent="0.2">
      <c r="A895" s="21">
        <v>45442</v>
      </c>
      <c r="B895" s="14">
        <f t="shared" ref="B895" si="2544">E895/F895</f>
        <v>1.5041221140015839</v>
      </c>
      <c r="C895" s="3">
        <v>0</v>
      </c>
      <c r="D895" s="3">
        <v>0</v>
      </c>
      <c r="E895" s="3">
        <v>787030.83</v>
      </c>
      <c r="F895" s="3">
        <f t="shared" ref="F895" si="2545">F894+G895</f>
        <v>523249.29118033772</v>
      </c>
      <c r="G895" s="3">
        <f t="shared" ref="G895" si="2546">(C895-D895)/((E895-C895+D895)/F894)</f>
        <v>0</v>
      </c>
      <c r="H895" s="5">
        <f t="shared" ref="H895" si="2547">I895/J895</f>
        <v>0.95197370512019153</v>
      </c>
      <c r="I895" s="4">
        <v>3594.31</v>
      </c>
      <c r="J895" s="4">
        <v>3775.64</v>
      </c>
      <c r="K895" s="6">
        <f t="shared" ref="K895" si="2548">(B895-H895)</f>
        <v>0.55214840888139238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0"/>
  <sheetViews>
    <sheetView workbookViewId="0">
      <pane ySplit="1" topLeftCell="A240" activePane="bottomLeft" state="frozen"/>
      <selection pane="bottomLeft" activeCell="E271" sqref="E271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  <row r="268" spans="1:11" x14ac:dyDescent="0.2">
      <c r="A268" s="10">
        <v>45429</v>
      </c>
      <c r="B268" s="2">
        <f t="shared" ref="B268" si="1233">E268/F268</f>
        <v>0.83306595568428909</v>
      </c>
      <c r="C268" s="3">
        <v>0</v>
      </c>
      <c r="D268" s="3">
        <v>0</v>
      </c>
      <c r="E268" s="3">
        <v>54470.58</v>
      </c>
      <c r="F268" s="4">
        <f t="shared" ref="F268" si="1234">F267+G268</f>
        <v>65385.675201739934</v>
      </c>
      <c r="G268" s="3">
        <f t="shared" ref="G268" si="1235">(C268-D268)/((E268-C268+D268)/F267)</f>
        <v>0</v>
      </c>
      <c r="H268" s="5">
        <f t="shared" ref="H268" si="1236">I268/J268</f>
        <v>0.95456315013599646</v>
      </c>
      <c r="I268" s="4">
        <v>3677.97</v>
      </c>
      <c r="J268" s="4">
        <v>3853.04</v>
      </c>
      <c r="K268" s="6">
        <f t="shared" ref="K268" si="1237">(B268-H268)</f>
        <v>-0.12149719445170737</v>
      </c>
    </row>
    <row r="269" spans="1:11" x14ac:dyDescent="0.2">
      <c r="A269" s="10">
        <v>45436</v>
      </c>
      <c r="B269" s="2">
        <f t="shared" ref="B269" si="1238">E269/F269</f>
        <v>0.80925034171080878</v>
      </c>
      <c r="C269" s="3">
        <v>0</v>
      </c>
      <c r="D269" s="3">
        <v>0</v>
      </c>
      <c r="E269" s="3">
        <v>52913.38</v>
      </c>
      <c r="F269" s="4">
        <f t="shared" ref="F269" si="1239">F268+G269</f>
        <v>65385.675201739934</v>
      </c>
      <c r="G269" s="3">
        <f t="shared" ref="G269" si="1240">(C269-D269)/((E269-C269+D269)/F268)</f>
        <v>0</v>
      </c>
      <c r="H269" s="5">
        <f t="shared" ref="H269" si="1241">I269/J269</f>
        <v>0.93471129290118971</v>
      </c>
      <c r="I269" s="4">
        <v>3601.48</v>
      </c>
      <c r="J269" s="4">
        <v>3853.04</v>
      </c>
      <c r="K269" s="6">
        <f t="shared" ref="K269" si="1242">(B269-H269)</f>
        <v>-0.12546095119038092</v>
      </c>
    </row>
    <row r="270" spans="1:11" x14ac:dyDescent="0.2">
      <c r="A270" s="10">
        <v>45442</v>
      </c>
      <c r="B270" s="2">
        <f t="shared" ref="B270" si="1243">E270/F270</f>
        <v>0.80286820986446072</v>
      </c>
      <c r="C270" s="3">
        <v>0</v>
      </c>
      <c r="D270" s="3">
        <v>0</v>
      </c>
      <c r="E270" s="3">
        <v>52496.08</v>
      </c>
      <c r="F270" s="4">
        <f t="shared" ref="F270" si="1244">F269+G270</f>
        <v>65385.675201739934</v>
      </c>
      <c r="G270" s="3">
        <f t="shared" ref="G270" si="1245">(C270-D270)/((E270-C270+D270)/F269)</f>
        <v>0</v>
      </c>
      <c r="H270" s="5">
        <f t="shared" ref="H270" si="1246">I270/J270</f>
        <v>0.9328504245997965</v>
      </c>
      <c r="I270" s="4">
        <v>3594.31</v>
      </c>
      <c r="J270" s="4">
        <v>3853.04</v>
      </c>
      <c r="K270" s="6">
        <f t="shared" ref="K270" si="1247">(B270-H270)</f>
        <v>-0.12998221473533578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2024-05-30T14:48:28Z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