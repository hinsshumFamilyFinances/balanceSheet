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3E86ADB9-D3A1-4987-8776-6181043DBA50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5" i="3" l="1"/>
  <c r="F245" i="3" s="1"/>
  <c r="B245" i="3" s="1"/>
  <c r="K245" i="3" s="1"/>
  <c r="H245" i="3"/>
  <c r="G870" i="2"/>
  <c r="F870" i="2" s="1"/>
  <c r="B870" i="2" s="1"/>
  <c r="H870" i="2"/>
  <c r="G881" i="1"/>
  <c r="F881" i="1" s="1"/>
  <c r="B881" i="1" s="1"/>
  <c r="H881" i="1"/>
  <c r="G244" i="3"/>
  <c r="F244" i="3" s="1"/>
  <c r="B244" i="3" s="1"/>
  <c r="H244" i="3"/>
  <c r="G869" i="2"/>
  <c r="F869" i="2" s="1"/>
  <c r="B869" i="2" s="1"/>
  <c r="K869" i="2" s="1"/>
  <c r="H869" i="2"/>
  <c r="G880" i="1"/>
  <c r="F880" i="1" s="1"/>
  <c r="B880" i="1" s="1"/>
  <c r="H880" i="1"/>
  <c r="G243" i="3"/>
  <c r="F243" i="3" s="1"/>
  <c r="B243" i="3" s="1"/>
  <c r="K243" i="3" s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G242" i="3"/>
  <c r="F242" i="3" s="1"/>
  <c r="B242" i="3" s="1"/>
  <c r="K242" i="3" s="1"/>
  <c r="H242" i="3"/>
  <c r="G241" i="3"/>
  <c r="F241" i="3" s="1"/>
  <c r="B241" i="3" s="1"/>
  <c r="K241" i="3" s="1"/>
  <c r="H241" i="3"/>
  <c r="G866" i="2"/>
  <c r="F866" i="2" s="1"/>
  <c r="B866" i="2" s="1"/>
  <c r="H866" i="2"/>
  <c r="H877" i="1"/>
  <c r="G240" i="3"/>
  <c r="F240" i="3" s="1"/>
  <c r="B240" i="3" s="1"/>
  <c r="H240" i="3"/>
  <c r="G865" i="2"/>
  <c r="F865" i="2" s="1"/>
  <c r="B865" i="2" s="1"/>
  <c r="H865" i="2"/>
  <c r="H876" i="1"/>
  <c r="G239" i="3"/>
  <c r="F239" i="3" s="1"/>
  <c r="B239" i="3" s="1"/>
  <c r="H239" i="3"/>
  <c r="G864" i="2"/>
  <c r="F864" i="2" s="1"/>
  <c r="B864" i="2" s="1"/>
  <c r="H864" i="2"/>
  <c r="H875" i="1"/>
  <c r="G238" i="3"/>
  <c r="F238" i="3" s="1"/>
  <c r="B238" i="3" s="1"/>
  <c r="H238" i="3"/>
  <c r="G863" i="2"/>
  <c r="F863" i="2" s="1"/>
  <c r="B863" i="2" s="1"/>
  <c r="H863" i="2"/>
  <c r="H874" i="1"/>
  <c r="G237" i="3"/>
  <c r="F237" i="3" s="1"/>
  <c r="B237" i="3" s="1"/>
  <c r="H237" i="3"/>
  <c r="G862" i="2"/>
  <c r="F862" i="2" s="1"/>
  <c r="B862" i="2" s="1"/>
  <c r="H862" i="2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H872" i="1"/>
  <c r="G235" i="3"/>
  <c r="F235" i="3" s="1"/>
  <c r="B235" i="3" s="1"/>
  <c r="H235" i="3"/>
  <c r="H860" i="2"/>
  <c r="H871" i="1"/>
  <c r="G234" i="3"/>
  <c r="F234" i="3" s="1"/>
  <c r="B234" i="3" s="1"/>
  <c r="H234" i="3"/>
  <c r="G859" i="2"/>
  <c r="F859" i="2" s="1"/>
  <c r="B859" i="2" s="1"/>
  <c r="H859" i="2"/>
  <c r="H870" i="1"/>
  <c r="G233" i="3"/>
  <c r="F233" i="3" s="1"/>
  <c r="B233" i="3" s="1"/>
  <c r="H233" i="3"/>
  <c r="G858" i="2"/>
  <c r="F858" i="2" s="1"/>
  <c r="B858" i="2" s="1"/>
  <c r="H858" i="2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H868" i="1"/>
  <c r="G231" i="3"/>
  <c r="F231" i="3" s="1"/>
  <c r="B231" i="3" s="1"/>
  <c r="H231" i="3"/>
  <c r="G856" i="2"/>
  <c r="F856" i="2" s="1"/>
  <c r="B856" i="2" s="1"/>
  <c r="K856" i="2" s="1"/>
  <c r="H856" i="2"/>
  <c r="H867" i="1"/>
  <c r="G230" i="3"/>
  <c r="F230" i="3" s="1"/>
  <c r="B230" i="3" s="1"/>
  <c r="K230" i="3" s="1"/>
  <c r="H230" i="3"/>
  <c r="H855" i="2"/>
  <c r="H866" i="1"/>
  <c r="F229" i="3"/>
  <c r="B229" i="3" s="1"/>
  <c r="G229" i="3"/>
  <c r="H229" i="3"/>
  <c r="F854" i="2"/>
  <c r="B854" i="2" s="1"/>
  <c r="G854" i="2"/>
  <c r="H854" i="2"/>
  <c r="H865" i="1"/>
  <c r="G228" i="3"/>
  <c r="F228" i="3" s="1"/>
  <c r="B228" i="3" s="1"/>
  <c r="H228" i="3"/>
  <c r="G853" i="2"/>
  <c r="F853" i="2" s="1"/>
  <c r="B853" i="2" s="1"/>
  <c r="H853" i="2"/>
  <c r="H864" i="1"/>
  <c r="G227" i="3"/>
  <c r="F227" i="3" s="1"/>
  <c r="B227" i="3" s="1"/>
  <c r="K227" i="3" s="1"/>
  <c r="H227" i="3"/>
  <c r="G852" i="2"/>
  <c r="F852" i="2" s="1"/>
  <c r="B852" i="2" s="1"/>
  <c r="H852" i="2"/>
  <c r="H863" i="1"/>
  <c r="G226" i="3"/>
  <c r="F226" i="3" s="1"/>
  <c r="B226" i="3" s="1"/>
  <c r="K226" i="3" s="1"/>
  <c r="H226" i="3"/>
  <c r="G851" i="2"/>
  <c r="F851" i="2" s="1"/>
  <c r="B851" i="2" s="1"/>
  <c r="H851" i="2"/>
  <c r="H862" i="1"/>
  <c r="G225" i="3"/>
  <c r="F225" i="3" s="1"/>
  <c r="B225" i="3" s="1"/>
  <c r="H225" i="3"/>
  <c r="G850" i="2"/>
  <c r="F850" i="2" s="1"/>
  <c r="B850" i="2" s="1"/>
  <c r="H850" i="2"/>
  <c r="H861" i="1"/>
  <c r="G224" i="3"/>
  <c r="F224" i="3" s="1"/>
  <c r="B224" i="3" s="1"/>
  <c r="H224" i="3"/>
  <c r="G849" i="2"/>
  <c r="F849" i="2" s="1"/>
  <c r="B849" i="2" s="1"/>
  <c r="H849" i="2"/>
  <c r="H860" i="1"/>
  <c r="G223" i="3"/>
  <c r="F223" i="3" s="1"/>
  <c r="B223" i="3" s="1"/>
  <c r="H223" i="3"/>
  <c r="F848" i="2"/>
  <c r="B848" i="2" s="1"/>
  <c r="G848" i="2"/>
  <c r="H848" i="2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H858" i="1"/>
  <c r="G221" i="3"/>
  <c r="F221" i="3" s="1"/>
  <c r="B221" i="3" s="1"/>
  <c r="K221" i="3" s="1"/>
  <c r="H221" i="3"/>
  <c r="G846" i="2"/>
  <c r="F846" i="2" s="1"/>
  <c r="B846" i="2" s="1"/>
  <c r="H846" i="2"/>
  <c r="H857" i="1"/>
  <c r="G220" i="3"/>
  <c r="F220" i="3" s="1"/>
  <c r="B220" i="3" s="1"/>
  <c r="H220" i="3"/>
  <c r="G845" i="2"/>
  <c r="F845" i="2" s="1"/>
  <c r="B845" i="2" s="1"/>
  <c r="H845" i="2"/>
  <c r="H856" i="1"/>
  <c r="G219" i="3"/>
  <c r="F219" i="3" s="1"/>
  <c r="B219" i="3" s="1"/>
  <c r="H219" i="3"/>
  <c r="G844" i="2"/>
  <c r="F844" i="2" s="1"/>
  <c r="B844" i="2" s="1"/>
  <c r="H844" i="2"/>
  <c r="H855" i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H853" i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H851" i="1"/>
  <c r="G214" i="3"/>
  <c r="F214" i="3" s="1"/>
  <c r="B214" i="3" s="1"/>
  <c r="H214" i="3"/>
  <c r="G839" i="2"/>
  <c r="F839" i="2" s="1"/>
  <c r="B839" i="2" s="1"/>
  <c r="K839" i="2" s="1"/>
  <c r="H839" i="2"/>
  <c r="H850" i="1"/>
  <c r="G213" i="3"/>
  <c r="F213" i="3" s="1"/>
  <c r="B213" i="3" s="1"/>
  <c r="H213" i="3"/>
  <c r="G838" i="2"/>
  <c r="F838" i="2" s="1"/>
  <c r="B838" i="2" s="1"/>
  <c r="H838" i="2"/>
  <c r="H849" i="1"/>
  <c r="G212" i="3"/>
  <c r="F212" i="3" s="1"/>
  <c r="B212" i="3" s="1"/>
  <c r="K212" i="3" s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H846" i="1"/>
  <c r="G209" i="3"/>
  <c r="F209" i="3" s="1"/>
  <c r="B209" i="3" s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870" i="2" l="1"/>
  <c r="K881" i="1"/>
  <c r="K244" i="3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240" i="3"/>
  <c r="K239" i="3"/>
  <c r="K864" i="2"/>
  <c r="K238" i="3"/>
  <c r="K863" i="2"/>
  <c r="K237" i="3"/>
  <c r="K862" i="2"/>
  <c r="G860" i="2"/>
  <c r="F860" i="2" s="1"/>
  <c r="B860" i="2" s="1"/>
  <c r="K860" i="2" s="1"/>
  <c r="K235" i="3"/>
  <c r="K234" i="3"/>
  <c r="K859" i="2"/>
  <c r="K233" i="3"/>
  <c r="K858" i="2"/>
  <c r="K231" i="3"/>
  <c r="G855" i="2"/>
  <c r="F855" i="2" s="1"/>
  <c r="B855" i="2" s="1"/>
  <c r="K855" i="2"/>
  <c r="K229" i="3"/>
  <c r="K854" i="2"/>
  <c r="K228" i="3"/>
  <c r="K853" i="2"/>
  <c r="K852" i="2"/>
  <c r="K851" i="2"/>
  <c r="K225" i="3"/>
  <c r="K850" i="2"/>
  <c r="K224" i="3"/>
  <c r="K849" i="2"/>
  <c r="K223" i="3"/>
  <c r="K848" i="2"/>
  <c r="K846" i="2"/>
  <c r="K220" i="3"/>
  <c r="K845" i="2"/>
  <c r="K219" i="3"/>
  <c r="K844" i="2"/>
  <c r="K843" i="2"/>
  <c r="K218" i="3"/>
  <c r="K217" i="3"/>
  <c r="K842" i="2"/>
  <c r="K841" i="2"/>
  <c r="K215" i="3"/>
  <c r="K840" i="2"/>
  <c r="K214" i="3"/>
  <c r="K213" i="3"/>
  <c r="K838" i="2"/>
  <c r="K837" i="2"/>
  <c r="K836" i="2"/>
  <c r="K209" i="3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 s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 s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 s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 s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 s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 s="1"/>
  <c r="G246" i="2"/>
  <c r="F246" i="2" s="1"/>
  <c r="B245" i="2"/>
  <c r="K245" i="2" s="1"/>
  <c r="G247" i="2" l="1"/>
  <c r="F247" i="2" s="1"/>
  <c r="B246" i="2"/>
  <c r="K246" i="2" s="1"/>
  <c r="G248" i="1"/>
  <c r="F248" i="1" s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 s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 s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 s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 s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 s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 s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 s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F298" i="1" s="1"/>
  <c r="B297" i="1"/>
  <c r="K297" i="1" s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<sst xmlns="http://schemas.openxmlformats.org/spreadsheetml/2006/main" count="33" uniqueCount="11">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</sst>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81"/>
  <sheetViews>
    <sheetView tabSelected="1" workbookViewId="0">
      <pane ySplit="1" topLeftCell="A858" activePane="bottomLeft" state="frozen"/>
      <selection pane="bottomLeft" activeCell="E882" sqref="E882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>F877+G878</f>
        <v>253344.86027488438</v>
      </c>
      <c r="G878" s="3">
        <f>(C878-D878)/((E878-C878+D878)/F877)</f>
        <v>0</v>
      </c>
      <c r="H878" s="5">
        <f t="shared" ref="H878" si="710">I878/J878</f>
        <v>0.94960854318738019</v>
      </c>
      <c r="I878" s="4">
        <v>3585.38</v>
      </c>
      <c r="J878" s="4">
        <v>3775.64</v>
      </c>
      <c r="K878" s="6">
        <f t="shared" ref="K878" si="711">(B878-H878)</f>
        <v>0.58320881722266504</v>
      </c>
    </row>
    <row r="879" spans="1:11" x14ac:dyDescent="0.2">
      <c r="A879" s="21">
        <v>45372</v>
      </c>
      <c r="B879" s="14">
        <f t="shared" ref="B879" si="712">E879/F879</f>
        <v>1.5212744382571071</v>
      </c>
      <c r="C879" s="3">
        <v>0</v>
      </c>
      <c r="D879" s="3">
        <v>0</v>
      </c>
      <c r="E879" s="3">
        <v>385407.06</v>
      </c>
      <c r="F879" s="3">
        <f>F878+G879</f>
        <v>253344.86027488438</v>
      </c>
      <c r="G879" s="3">
        <f>(C879-D879)/((E879-C879+D879)/F878)</f>
        <v>0</v>
      </c>
      <c r="H879" s="5">
        <f t="shared" ref="H879" si="713">I879/J879</f>
        <v>0.94847231197889637</v>
      </c>
      <c r="I879" s="4">
        <v>3581.09</v>
      </c>
      <c r="J879" s="4">
        <v>3775.64</v>
      </c>
      <c r="K879" s="6">
        <f t="shared" ref="K879" si="714">(B879-H879)</f>
        <v>0.5728021262782107</v>
      </c>
    </row>
    <row r="880" spans="1:11" x14ac:dyDescent="0.2">
      <c r="A880" s="21">
        <v>45373</v>
      </c>
      <c r="B880" s="14">
        <f t="shared" ref="B880" si="715">E880/F880</f>
        <v>1.5021593474881623</v>
      </c>
      <c r="C880" s="3">
        <v>0</v>
      </c>
      <c r="D880" s="3">
        <v>0</v>
      </c>
      <c r="E880" s="3">
        <v>380564.35</v>
      </c>
      <c r="F880" s="3">
        <f>F879+G880</f>
        <v>253344.86027488438</v>
      </c>
      <c r="G880" s="3">
        <f>(C880-D880)/((E880-C880+D880)/F879)</f>
        <v>0</v>
      </c>
      <c r="H880" s="5">
        <f t="shared" ref="H880" si="716">I880/J880</f>
        <v>0.93891366761661599</v>
      </c>
      <c r="I880" s="4">
        <v>3545</v>
      </c>
      <c r="J880" s="4">
        <v>3775.64</v>
      </c>
      <c r="K880" s="6">
        <f t="shared" ref="K880" si="717">(B880-H880)</f>
        <v>0.56324567987154628</v>
      </c>
    </row>
    <row r="881" spans="1:11" x14ac:dyDescent="0.2">
      <c r="A881" s="21">
        <v>45376</v>
      </c>
      <c r="B881" s="14">
        <f t="shared" ref="B881" si="718">E881/F881</f>
        <v>1.4914481769633068</v>
      </c>
      <c r="C881" s="3">
        <v>0</v>
      </c>
      <c r="D881" s="3">
        <v>0</v>
      </c>
      <c r="E881" s="3">
        <v>377850.73</v>
      </c>
      <c r="F881" s="3">
        <f>F880+G881</f>
        <v>253344.86027488438</v>
      </c>
      <c r="G881" s="3">
        <f>(C881-D881)/((E881-C881+D881)/F880)</f>
        <v>0</v>
      </c>
      <c r="H881" s="5">
        <f t="shared" ref="H881" si="719">I881/J881</f>
        <v>0.93381784280280966</v>
      </c>
      <c r="I881" s="4">
        <v>3525.76</v>
      </c>
      <c r="J881" s="4">
        <v>3775.64</v>
      </c>
      <c r="K881" s="6">
        <f t="shared" ref="K881" si="720">(B881-H881)</f>
        <v>0.55763033416049712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70"/>
  <sheetViews>
    <sheetView workbookViewId="0">
      <pane ySplit="1" topLeftCell="A841" activePane="bottomLeft" state="frozen"/>
      <selection pane="bottomLeft" activeCell="E871" sqref="E871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5"/>
  <sheetViews>
    <sheetView workbookViewId="0">
      <pane ySplit="1" topLeftCell="A212" activePane="bottomLeft" state="frozen"/>
      <selection pane="bottomLeft" activeCell="E246" sqref="E246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2024-03-25T13:50:48Z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