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4D6D4B11-21FF-47A8-A20B-8740FFFBD0E2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1" i="3" l="1"/>
  <c r="F271" i="3" s="1"/>
  <c r="B271" i="3" s="1"/>
  <c r="K271" i="3" s="1"/>
  <c r="H271" i="3"/>
  <c r="G896" i="2"/>
  <c r="F896" i="2" s="1"/>
  <c r="B896" i="2" s="1"/>
  <c r="H896" i="2"/>
  <c r="G907" i="1"/>
  <c r="F907" i="1" s="1"/>
  <c r="B907" i="1" s="1"/>
  <c r="H907" i="1"/>
  <c r="F270" i="3"/>
  <c r="B270" i="3" s="1"/>
  <c r="G270" i="3"/>
  <c r="H270" i="3"/>
  <c r="G895" i="2"/>
  <c r="F895" i="2" s="1"/>
  <c r="B895" i="2" s="1"/>
  <c r="H895" i="2"/>
  <c r="G906" i="1"/>
  <c r="F906" i="1" s="1"/>
  <c r="B906" i="1" s="1"/>
  <c r="H906" i="1"/>
  <c r="G269" i="3"/>
  <c r="F269" i="3" s="1"/>
  <c r="B269" i="3" s="1"/>
  <c r="H269" i="3"/>
  <c r="F894" i="2"/>
  <c r="B894" i="2" s="1"/>
  <c r="G894" i="2"/>
  <c r="H894" i="2"/>
  <c r="G905" i="1"/>
  <c r="F905" i="1" s="1"/>
  <c r="B905" i="1" s="1"/>
  <c r="H905" i="1"/>
  <c r="G268" i="3"/>
  <c r="F268" i="3" s="1"/>
  <c r="B268" i="3" s="1"/>
  <c r="H268" i="3"/>
  <c r="G893" i="2"/>
  <c r="F893" i="2" s="1"/>
  <c r="B893" i="2" s="1"/>
  <c r="H893" i="2"/>
  <c r="G904" i="1"/>
  <c r="F904" i="1" s="1"/>
  <c r="B904" i="1" s="1"/>
  <c r="H904" i="1"/>
  <c r="G267" i="3"/>
  <c r="F267" i="3" s="1"/>
  <c r="B267" i="3" s="1"/>
  <c r="H267" i="3"/>
  <c r="G892" i="2"/>
  <c r="F892" i="2" s="1"/>
  <c r="B892" i="2" s="1"/>
  <c r="H892" i="2"/>
  <c r="G903" i="1"/>
  <c r="F903" i="1" s="1"/>
  <c r="B903" i="1" s="1"/>
  <c r="H903" i="1"/>
  <c r="G902" i="1"/>
  <c r="F902" i="1" s="1"/>
  <c r="B902" i="1" s="1"/>
  <c r="H902" i="1"/>
  <c r="G891" i="2"/>
  <c r="F891" i="2" s="1"/>
  <c r="B891" i="2" s="1"/>
  <c r="H891" i="2"/>
  <c r="H266" i="3"/>
  <c r="G265" i="3"/>
  <c r="F265" i="3" s="1"/>
  <c r="H265" i="3"/>
  <c r="G890" i="2"/>
  <c r="F890" i="2" s="1"/>
  <c r="B890" i="2" s="1"/>
  <c r="K890" i="2" s="1"/>
  <c r="H890" i="2"/>
  <c r="G901" i="1"/>
  <c r="F901" i="1" s="1"/>
  <c r="B901" i="1" s="1"/>
  <c r="H901" i="1"/>
  <c r="G264" i="3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896" i="2" l="1"/>
  <c r="K907" i="1"/>
  <c r="K270" i="3"/>
  <c r="K895" i="2"/>
  <c r="K906" i="1"/>
  <c r="K269" i="3"/>
  <c r="K894" i="2"/>
  <c r="K905" i="1"/>
  <c r="K268" i="3"/>
  <c r="K893" i="2"/>
  <c r="K904" i="1"/>
  <c r="K267" i="3"/>
  <c r="K892" i="2"/>
  <c r="K903" i="1"/>
  <c r="K902" i="1"/>
  <c r="K891" i="2"/>
  <c r="B265" i="3"/>
  <c r="K265" i="3" s="1"/>
  <c r="G266" i="3"/>
  <c r="F266" i="3" s="1"/>
  <c r="B266" i="3" s="1"/>
  <c r="K266" i="3" s="1"/>
  <c r="K901" i="1"/>
  <c r="K264" i="3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<sst xmlns="http://schemas.openxmlformats.org/spreadsheetml/2006/main" count="33" uniqueCount="11">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</sst>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  <c:pt idx="904">
                  <c:v>45442</c:v>
                </c:pt>
                <c:pt idx="905">
                  <c:v>45443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  <c:pt idx="899">
                  <c:v>1.6127647490329038</c:v>
                </c:pt>
                <c:pt idx="900">
                  <c:v>1.6055811811561949</c:v>
                </c:pt>
                <c:pt idx="901">
                  <c:v>1.6071222426151734</c:v>
                </c:pt>
                <c:pt idx="902">
                  <c:v>1.6031072410915732</c:v>
                </c:pt>
                <c:pt idx="903">
                  <c:v>1.5662883374442718</c:v>
                </c:pt>
                <c:pt idx="904">
                  <c:v>1.5554379495697461</c:v>
                </c:pt>
                <c:pt idx="905">
                  <c:v>1.5515044969671603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  <c:pt idx="904">
                  <c:v>45442</c:v>
                </c:pt>
                <c:pt idx="905">
                  <c:v>45443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  <c:pt idx="899">
                  <c:v>0.97057982222881423</c:v>
                </c:pt>
                <c:pt idx="900">
                  <c:v>0.97061425347755614</c:v>
                </c:pt>
                <c:pt idx="901">
                  <c:v>0.96038287548601031</c:v>
                </c:pt>
                <c:pt idx="902">
                  <c:v>0.97413153796442453</c:v>
                </c:pt>
                <c:pt idx="903">
                  <c:v>0.95387272091618913</c:v>
                </c:pt>
                <c:pt idx="904">
                  <c:v>0.95197370512019153</c:v>
                </c:pt>
                <c:pt idx="905">
                  <c:v>0.94816243074021889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  <c:pt idx="893">
                  <c:v>45442</c:v>
                </c:pt>
                <c:pt idx="894">
                  <c:v>45443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  <c:pt idx="888">
                  <c:v>1.5691031289271857</c:v>
                </c:pt>
                <c:pt idx="889">
                  <c:v>1.5600901783518266</c:v>
                </c:pt>
                <c:pt idx="890">
                  <c:v>1.5596355193508307</c:v>
                </c:pt>
                <c:pt idx="891">
                  <c:v>1.5594473107824485</c:v>
                </c:pt>
                <c:pt idx="892">
                  <c:v>1.5171915822555662</c:v>
                </c:pt>
                <c:pt idx="893">
                  <c:v>1.5041221140015839</c:v>
                </c:pt>
                <c:pt idx="894">
                  <c:v>1.4997572347012262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  <c:pt idx="893">
                  <c:v>45442</c:v>
                </c:pt>
                <c:pt idx="894">
                  <c:v>45443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  <c:pt idx="888">
                  <c:v>0.97057982222881423</c:v>
                </c:pt>
                <c:pt idx="889">
                  <c:v>0.97061425347755614</c:v>
                </c:pt>
                <c:pt idx="890">
                  <c:v>0.96038287548601031</c:v>
                </c:pt>
                <c:pt idx="891">
                  <c:v>0.97413153796442453</c:v>
                </c:pt>
                <c:pt idx="892">
                  <c:v>0.95387272091618913</c:v>
                </c:pt>
                <c:pt idx="893">
                  <c:v>0.95197370512019153</c:v>
                </c:pt>
                <c:pt idx="894">
                  <c:v>0.94816243074021889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  <c:pt idx="268">
                  <c:v>45442</c:v>
                </c:pt>
                <c:pt idx="269">
                  <c:v>45443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  <c:pt idx="263">
                  <c:v>0.82953918932011972</c:v>
                </c:pt>
                <c:pt idx="264">
                  <c:v>0.8298435373281291</c:v>
                </c:pt>
                <c:pt idx="265">
                  <c:v>0.82945201426254911</c:v>
                </c:pt>
                <c:pt idx="266">
                  <c:v>0.83306595568428909</c:v>
                </c:pt>
                <c:pt idx="267">
                  <c:v>0.80925034171080878</c:v>
                </c:pt>
                <c:pt idx="268">
                  <c:v>0.80286820986446072</c:v>
                </c:pt>
                <c:pt idx="269">
                  <c:v>0.79813934533800279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  <c:pt idx="268">
                  <c:v>45442</c:v>
                </c:pt>
                <c:pt idx="269">
                  <c:v>45443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  <c:pt idx="263">
                  <c:v>0.95108278138820257</c:v>
                </c:pt>
                <c:pt idx="264">
                  <c:v>0.95111652098083599</c:v>
                </c:pt>
                <c:pt idx="265">
                  <c:v>0.94109067126217216</c:v>
                </c:pt>
                <c:pt idx="266">
                  <c:v>0.95456315013599646</c:v>
                </c:pt>
                <c:pt idx="267">
                  <c:v>0.93471129290118971</c:v>
                </c:pt>
                <c:pt idx="268">
                  <c:v>0.9328504245997965</c:v>
                </c:pt>
                <c:pt idx="269">
                  <c:v>0.92911571123061276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7"/>
  <sheetViews>
    <sheetView tabSelected="1" workbookViewId="0">
      <pane ySplit="1" topLeftCell="A876" activePane="bottomLeft" state="frozen"/>
      <selection pane="bottomLeft" activeCell="E908" sqref="E908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  <row r="901" spans="1:11" x14ac:dyDescent="0.2">
      <c r="A901" s="21">
        <v>45420</v>
      </c>
      <c r="B901" s="14">
        <f t="shared" ref="B901" si="814">E901/F901</f>
        <v>1.6127647490329038</v>
      </c>
      <c r="C901" s="3">
        <v>0</v>
      </c>
      <c r="D901" s="3">
        <v>0</v>
      </c>
      <c r="E901" s="3">
        <v>408585.66</v>
      </c>
      <c r="F901" s="3">
        <f t="shared" ref="F901" si="815">F900+G901</f>
        <v>253344.86027488438</v>
      </c>
      <c r="G901" s="3">
        <f t="shared" ref="G901" si="816">(C901-D901)/((E901-C901+D901)/F900)</f>
        <v>0</v>
      </c>
      <c r="H901" s="5">
        <f t="shared" ref="H901" si="817">I901/J901</f>
        <v>0.97057982222881423</v>
      </c>
      <c r="I901" s="4">
        <v>3664.56</v>
      </c>
      <c r="J901" s="4">
        <v>3775.64</v>
      </c>
      <c r="K901" s="6">
        <f t="shared" ref="K901" si="818">(B901-H901)</f>
        <v>0.64218492680408956</v>
      </c>
    </row>
    <row r="902" spans="1:11" x14ac:dyDescent="0.2">
      <c r="A902" s="21">
        <v>45425</v>
      </c>
      <c r="B902" s="14">
        <f t="shared" ref="B902" si="819">E902/F902</f>
        <v>1.6055811811561949</v>
      </c>
      <c r="C902" s="3">
        <v>0</v>
      </c>
      <c r="D902" s="3">
        <v>0</v>
      </c>
      <c r="E902" s="3">
        <v>406765.74</v>
      </c>
      <c r="F902" s="3">
        <f t="shared" ref="F902" si="820">F901+G902</f>
        <v>253344.86027488438</v>
      </c>
      <c r="G902" s="3">
        <f t="shared" ref="G902" si="821">(C902-D902)/((E902-C902+D902)/F901)</f>
        <v>0</v>
      </c>
      <c r="H902" s="5">
        <f t="shared" ref="H902" si="822">I902/J902</f>
        <v>0.97061425347755614</v>
      </c>
      <c r="I902" s="4">
        <v>3664.69</v>
      </c>
      <c r="J902" s="4">
        <v>3775.64</v>
      </c>
      <c r="K902" s="6">
        <f t="shared" ref="K902" si="823">(B902-H902)</f>
        <v>0.63496692767863872</v>
      </c>
    </row>
    <row r="903" spans="1:11" x14ac:dyDescent="0.2">
      <c r="A903" s="21">
        <v>45427</v>
      </c>
      <c r="B903" s="14">
        <f t="shared" ref="B903" si="824">E903/F903</f>
        <v>1.6071222426151734</v>
      </c>
      <c r="C903" s="3">
        <v>0</v>
      </c>
      <c r="D903" s="3">
        <v>0</v>
      </c>
      <c r="E903" s="3">
        <v>407156.16</v>
      </c>
      <c r="F903" s="3">
        <f t="shared" ref="F903" si="825">F902+G903</f>
        <v>253344.86027488438</v>
      </c>
      <c r="G903" s="3">
        <f t="shared" ref="G903" si="826">(C903-D903)/((E903-C903+D903)/F902)</f>
        <v>0</v>
      </c>
      <c r="H903" s="5">
        <f t="shared" ref="H903" si="827">I903/J903</f>
        <v>0.96038287548601031</v>
      </c>
      <c r="I903" s="4">
        <v>3626.06</v>
      </c>
      <c r="J903" s="4">
        <v>3775.64</v>
      </c>
      <c r="K903" s="6">
        <f t="shared" ref="K903" si="828">(B903-H903)</f>
        <v>0.64673936712916313</v>
      </c>
    </row>
    <row r="904" spans="1:11" x14ac:dyDescent="0.2">
      <c r="A904" s="21">
        <v>45429</v>
      </c>
      <c r="B904" s="14">
        <f t="shared" ref="B904" si="829">E904/F904</f>
        <v>1.6031072410915732</v>
      </c>
      <c r="C904" s="3">
        <v>0</v>
      </c>
      <c r="D904" s="3">
        <v>0</v>
      </c>
      <c r="E904" s="3">
        <v>406138.98</v>
      </c>
      <c r="F904" s="3">
        <f t="shared" ref="F904" si="830">F903+G904</f>
        <v>253344.86027488438</v>
      </c>
      <c r="G904" s="3">
        <f t="shared" ref="G904" si="831">(C904-D904)/((E904-C904+D904)/F903)</f>
        <v>0</v>
      </c>
      <c r="H904" s="5">
        <f t="shared" ref="H904" si="832">I904/J904</f>
        <v>0.97413153796442453</v>
      </c>
      <c r="I904" s="4">
        <v>3677.97</v>
      </c>
      <c r="J904" s="4">
        <v>3775.64</v>
      </c>
      <c r="K904" s="6">
        <f t="shared" ref="K904" si="833">(B904-H904)</f>
        <v>0.62897570312714868</v>
      </c>
    </row>
    <row r="905" spans="1:11" x14ac:dyDescent="0.2">
      <c r="A905" s="21">
        <v>45436</v>
      </c>
      <c r="B905" s="14">
        <f t="shared" ref="B905" si="834">E905/F905</f>
        <v>1.5662883374442718</v>
      </c>
      <c r="C905" s="3">
        <v>0</v>
      </c>
      <c r="D905" s="3">
        <v>0</v>
      </c>
      <c r="E905" s="3">
        <v>396811.1</v>
      </c>
      <c r="F905" s="3">
        <f t="shared" ref="F905" si="835">F904+G905</f>
        <v>253344.86027488438</v>
      </c>
      <c r="G905" s="3">
        <f t="shared" ref="G905" si="836">(C905-D905)/((E905-C905+D905)/F904)</f>
        <v>0</v>
      </c>
      <c r="H905" s="5">
        <f t="shared" ref="H905" si="837">I905/J905</f>
        <v>0.95387272091618913</v>
      </c>
      <c r="I905" s="4">
        <v>3601.48</v>
      </c>
      <c r="J905" s="4">
        <v>3775.64</v>
      </c>
      <c r="K905" s="6">
        <f t="shared" ref="K905" si="838">(B905-H905)</f>
        <v>0.61241561652808263</v>
      </c>
    </row>
    <row r="906" spans="1:11" x14ac:dyDescent="0.2">
      <c r="A906" s="21">
        <v>45442</v>
      </c>
      <c r="B906" s="14">
        <f t="shared" ref="B906" si="839">E906/F906</f>
        <v>1.5554379495697461</v>
      </c>
      <c r="C906" s="3">
        <v>0</v>
      </c>
      <c r="D906" s="3">
        <v>0</v>
      </c>
      <c r="E906" s="3">
        <v>394062.21</v>
      </c>
      <c r="F906" s="3">
        <f t="shared" ref="F906" si="840">F905+G906</f>
        <v>253344.86027488438</v>
      </c>
      <c r="G906" s="3">
        <f t="shared" ref="G906" si="841">(C906-D906)/((E906-C906+D906)/F905)</f>
        <v>0</v>
      </c>
      <c r="H906" s="5">
        <f t="shared" ref="H906" si="842">I906/J906</f>
        <v>0.95197370512019153</v>
      </c>
      <c r="I906" s="4">
        <v>3594.31</v>
      </c>
      <c r="J906" s="4">
        <v>3775.64</v>
      </c>
      <c r="K906" s="6">
        <f t="shared" ref="K906" si="843">(B906-H906)</f>
        <v>0.6034642444495546</v>
      </c>
    </row>
    <row r="907" spans="1:11" x14ac:dyDescent="0.2">
      <c r="A907" s="21">
        <v>45443</v>
      </c>
      <c r="B907" s="14">
        <f t="shared" ref="B907" si="844">E907/F907</f>
        <v>1.5515044969671603</v>
      </c>
      <c r="C907" s="3">
        <v>0</v>
      </c>
      <c r="D907" s="3">
        <v>0</v>
      </c>
      <c r="E907" s="3">
        <v>393065.69</v>
      </c>
      <c r="F907" s="3">
        <f t="shared" ref="F907" si="845">F906+G907</f>
        <v>253344.86027488438</v>
      </c>
      <c r="G907" s="3">
        <f t="shared" ref="G907" si="846">(C907-D907)/((E907-C907+D907)/F906)</f>
        <v>0</v>
      </c>
      <c r="H907" s="5">
        <f t="shared" ref="H907" si="847">I907/J907</f>
        <v>0.94816243074021889</v>
      </c>
      <c r="I907" s="4">
        <v>3579.92</v>
      </c>
      <c r="J907" s="4">
        <v>3775.64</v>
      </c>
      <c r="K907" s="6">
        <f t="shared" ref="K907" si="848">(B907-H907)</f>
        <v>0.60334206622694142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96"/>
  <sheetViews>
    <sheetView workbookViewId="0">
      <pane ySplit="1" topLeftCell="A865" activePane="bottomLeft" state="frozen"/>
      <selection pane="bottomLeft" activeCell="E897" sqref="E897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  <row r="890" spans="1:11" x14ac:dyDescent="0.2">
      <c r="A890" s="21">
        <v>45420</v>
      </c>
      <c r="B890" s="14">
        <f t="shared" ref="B890" si="2519">E890/F890</f>
        <v>1.5691031289271857</v>
      </c>
      <c r="C890" s="3">
        <v>0</v>
      </c>
      <c r="D890" s="3">
        <v>0</v>
      </c>
      <c r="E890" s="3">
        <v>821032.1</v>
      </c>
      <c r="F890" s="3">
        <f t="shared" ref="F890" si="2520">F889+G890</f>
        <v>523249.29118033772</v>
      </c>
      <c r="G890" s="3">
        <f t="shared" ref="G890" si="2521">(C890-D890)/((E890-C890+D890)/F889)</f>
        <v>0</v>
      </c>
      <c r="H890" s="5">
        <f t="shared" ref="H890" si="2522">I890/J890</f>
        <v>0.97057982222881423</v>
      </c>
      <c r="I890" s="4">
        <v>3664.56</v>
      </c>
      <c r="J890" s="4">
        <v>3775.64</v>
      </c>
      <c r="K890" s="6">
        <f t="shared" ref="K890" si="2523">(B890-H890)</f>
        <v>0.5985233066983715</v>
      </c>
    </row>
    <row r="891" spans="1:11" x14ac:dyDescent="0.2">
      <c r="A891" s="21">
        <v>45425</v>
      </c>
      <c r="B891" s="14">
        <f t="shared" ref="B891" si="2524">E891/F891</f>
        <v>1.5600901783518266</v>
      </c>
      <c r="C891" s="3">
        <v>0</v>
      </c>
      <c r="D891" s="3">
        <v>0</v>
      </c>
      <c r="E891" s="3">
        <v>816316.08</v>
      </c>
      <c r="F891" s="3">
        <f t="shared" ref="F891" si="2525">F890+G891</f>
        <v>523249.29118033772</v>
      </c>
      <c r="G891" s="3">
        <f t="shared" ref="G891" si="2526">(C891-D891)/((E891-C891+D891)/F890)</f>
        <v>0</v>
      </c>
      <c r="H891" s="5">
        <f t="shared" ref="H891" si="2527">I891/J891</f>
        <v>0.97061425347755614</v>
      </c>
      <c r="I891" s="4">
        <v>3664.69</v>
      </c>
      <c r="J891" s="4">
        <v>3775.64</v>
      </c>
      <c r="K891" s="6">
        <f t="shared" ref="K891" si="2528">(B891-H891)</f>
        <v>0.58947592487427047</v>
      </c>
    </row>
    <row r="892" spans="1:11" x14ac:dyDescent="0.2">
      <c r="A892" s="21">
        <v>45427</v>
      </c>
      <c r="B892" s="14">
        <f t="shared" ref="B892" si="2529">E892/F892</f>
        <v>1.5596355193508307</v>
      </c>
      <c r="C892" s="3">
        <v>0</v>
      </c>
      <c r="D892" s="3">
        <v>0</v>
      </c>
      <c r="E892" s="3">
        <v>816078.18</v>
      </c>
      <c r="F892" s="3">
        <f t="shared" ref="F892" si="2530">F891+G892</f>
        <v>523249.29118033772</v>
      </c>
      <c r="G892" s="3">
        <f t="shared" ref="G892" si="2531">(C892-D892)/((E892-C892+D892)/F891)</f>
        <v>0</v>
      </c>
      <c r="H892" s="5">
        <f t="shared" ref="H892" si="2532">I892/J892</f>
        <v>0.96038287548601031</v>
      </c>
      <c r="I892" s="4">
        <v>3626.06</v>
      </c>
      <c r="J892" s="4">
        <v>3775.64</v>
      </c>
      <c r="K892" s="6">
        <f t="shared" ref="K892" si="2533">(B892-H892)</f>
        <v>0.59925264386482036</v>
      </c>
    </row>
    <row r="893" spans="1:11" x14ac:dyDescent="0.2">
      <c r="A893" s="21">
        <v>45429</v>
      </c>
      <c r="B893" s="14">
        <f t="shared" ref="B893" si="2534">E893/F893</f>
        <v>1.5594473107824485</v>
      </c>
      <c r="C893" s="3">
        <v>0</v>
      </c>
      <c r="D893" s="3">
        <v>0</v>
      </c>
      <c r="E893" s="3">
        <v>815979.7</v>
      </c>
      <c r="F893" s="3">
        <f t="shared" ref="F893" si="2535">F892+G893</f>
        <v>523249.29118033772</v>
      </c>
      <c r="G893" s="3">
        <f t="shared" ref="G893" si="2536">(C893-D893)/((E893-C893+D893)/F892)</f>
        <v>0</v>
      </c>
      <c r="H893" s="5">
        <f t="shared" ref="H893" si="2537">I893/J893</f>
        <v>0.97413153796442453</v>
      </c>
      <c r="I893" s="4">
        <v>3677.97</v>
      </c>
      <c r="J893" s="4">
        <v>3775.64</v>
      </c>
      <c r="K893" s="6">
        <f t="shared" ref="K893" si="2538">(B893-H893)</f>
        <v>0.58531577281802394</v>
      </c>
    </row>
    <row r="894" spans="1:11" x14ac:dyDescent="0.2">
      <c r="A894" s="21">
        <v>45436</v>
      </c>
      <c r="B894" s="14">
        <f t="shared" ref="B894" si="2539">E894/F894</f>
        <v>1.5171915822555662</v>
      </c>
      <c r="C894" s="3">
        <v>0</v>
      </c>
      <c r="D894" s="3">
        <v>0</v>
      </c>
      <c r="E894" s="3">
        <v>793869.42</v>
      </c>
      <c r="F894" s="3">
        <f t="shared" ref="F894" si="2540">F893+G894</f>
        <v>523249.29118033772</v>
      </c>
      <c r="G894" s="3">
        <f t="shared" ref="G894" si="2541">(C894-D894)/((E894-C894+D894)/F893)</f>
        <v>0</v>
      </c>
      <c r="H894" s="5">
        <f t="shared" ref="H894" si="2542">I894/J894</f>
        <v>0.95387272091618913</v>
      </c>
      <c r="I894" s="4">
        <v>3601.48</v>
      </c>
      <c r="J894" s="4">
        <v>3775.64</v>
      </c>
      <c r="K894" s="6">
        <f t="shared" ref="K894" si="2543">(B894-H894)</f>
        <v>0.56331886133937703</v>
      </c>
    </row>
    <row r="895" spans="1:11" x14ac:dyDescent="0.2">
      <c r="A895" s="21">
        <v>45442</v>
      </c>
      <c r="B895" s="14">
        <f t="shared" ref="B895" si="2544">E895/F895</f>
        <v>1.5041221140015839</v>
      </c>
      <c r="C895" s="3">
        <v>0</v>
      </c>
      <c r="D895" s="3">
        <v>0</v>
      </c>
      <c r="E895" s="3">
        <v>787030.83</v>
      </c>
      <c r="F895" s="3">
        <f t="shared" ref="F895" si="2545">F894+G895</f>
        <v>523249.29118033772</v>
      </c>
      <c r="G895" s="3">
        <f t="shared" ref="G895" si="2546">(C895-D895)/((E895-C895+D895)/F894)</f>
        <v>0</v>
      </c>
      <c r="H895" s="5">
        <f t="shared" ref="H895" si="2547">I895/J895</f>
        <v>0.95197370512019153</v>
      </c>
      <c r="I895" s="4">
        <v>3594.31</v>
      </c>
      <c r="J895" s="4">
        <v>3775.64</v>
      </c>
      <c r="K895" s="6">
        <f t="shared" ref="K895" si="2548">(B895-H895)</f>
        <v>0.55214840888139238</v>
      </c>
    </row>
    <row r="896" spans="1:11" x14ac:dyDescent="0.2">
      <c r="A896" s="21">
        <v>45443</v>
      </c>
      <c r="B896" s="14">
        <f t="shared" ref="B896" si="2549">E896/F896</f>
        <v>1.4997572347012262</v>
      </c>
      <c r="C896" s="3">
        <v>0</v>
      </c>
      <c r="D896" s="3">
        <v>0</v>
      </c>
      <c r="E896" s="3">
        <v>784746.91</v>
      </c>
      <c r="F896" s="3">
        <f t="shared" ref="F896" si="2550">F895+G896</f>
        <v>523249.29118033772</v>
      </c>
      <c r="G896" s="3">
        <f t="shared" ref="G896" si="2551">(C896-D896)/((E896-C896+D896)/F895)</f>
        <v>0</v>
      </c>
      <c r="H896" s="5">
        <f t="shared" ref="H896" si="2552">I896/J896</f>
        <v>0.94816243074021889</v>
      </c>
      <c r="I896" s="4">
        <v>3579.92</v>
      </c>
      <c r="J896" s="4">
        <v>3775.64</v>
      </c>
      <c r="K896" s="6">
        <f t="shared" ref="K896" si="2553">(B896-H896)</f>
        <v>0.55159480396100735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1"/>
  <sheetViews>
    <sheetView workbookViewId="0">
      <pane ySplit="1" topLeftCell="A240" activePane="bottomLeft" state="frozen"/>
      <selection pane="bottomLeft" activeCell="E272" sqref="E272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  <row r="265" spans="1:11" x14ac:dyDescent="0.2">
      <c r="A265" s="10">
        <v>45420</v>
      </c>
      <c r="B265" s="2">
        <f t="shared" ref="B265" si="1218">E265/F265</f>
        <v>0.82953918932011972</v>
      </c>
      <c r="C265" s="3">
        <v>0</v>
      </c>
      <c r="D265" s="3">
        <v>0</v>
      </c>
      <c r="E265" s="3">
        <v>54239.98</v>
      </c>
      <c r="F265" s="4">
        <f t="shared" ref="F265" si="1219">F264+G265</f>
        <v>65385.675201739934</v>
      </c>
      <c r="G265" s="3">
        <f t="shared" ref="G265" si="1220">(C265-D265)/((E265-C265+D265)/F264)</f>
        <v>0</v>
      </c>
      <c r="H265" s="5">
        <f t="shared" ref="H265" si="1221">I265/J265</f>
        <v>0.95108278138820257</v>
      </c>
      <c r="I265" s="4">
        <v>3664.56</v>
      </c>
      <c r="J265" s="4">
        <v>3853.04</v>
      </c>
      <c r="K265" s="6">
        <f t="shared" ref="K265" si="1222">(B265-H265)</f>
        <v>-0.12154359206808285</v>
      </c>
    </row>
    <row r="266" spans="1:11" x14ac:dyDescent="0.2">
      <c r="A266" s="10">
        <v>45425</v>
      </c>
      <c r="B266" s="2">
        <f t="shared" ref="B266" si="1223">E266/F266</f>
        <v>0.8298435373281291</v>
      </c>
      <c r="C266" s="3">
        <v>0</v>
      </c>
      <c r="D266" s="3">
        <v>0</v>
      </c>
      <c r="E266" s="3">
        <v>54259.88</v>
      </c>
      <c r="F266" s="4">
        <f t="shared" ref="F266" si="1224">F265+G266</f>
        <v>65385.675201739934</v>
      </c>
      <c r="G266" s="3">
        <f t="shared" ref="G266" si="1225">(C266-D266)/((E266-C266+D266)/F265)</f>
        <v>0</v>
      </c>
      <c r="H266" s="5">
        <f t="shared" ref="H266" si="1226">I266/J266</f>
        <v>0.95111652098083599</v>
      </c>
      <c r="I266" s="4">
        <v>3664.69</v>
      </c>
      <c r="J266" s="4">
        <v>3853.04</v>
      </c>
      <c r="K266" s="6">
        <f t="shared" ref="K266" si="1227">(B266-H266)</f>
        <v>-0.12127298365270689</v>
      </c>
    </row>
    <row r="267" spans="1:11" x14ac:dyDescent="0.2">
      <c r="A267" s="10">
        <v>45427</v>
      </c>
      <c r="B267" s="2">
        <f t="shared" ref="B267" si="1228">E267/F267</f>
        <v>0.82945201426254911</v>
      </c>
      <c r="C267" s="3">
        <v>0</v>
      </c>
      <c r="D267" s="3">
        <v>0</v>
      </c>
      <c r="E267" s="3">
        <v>54234.28</v>
      </c>
      <c r="F267" s="4">
        <f t="shared" ref="F267" si="1229">F266+G267</f>
        <v>65385.675201739934</v>
      </c>
      <c r="G267" s="3">
        <f t="shared" ref="G267" si="1230">(C267-D267)/((E267-C267+D267)/F266)</f>
        <v>0</v>
      </c>
      <c r="H267" s="5">
        <f t="shared" ref="H267" si="1231">I267/J267</f>
        <v>0.94109067126217216</v>
      </c>
      <c r="I267" s="4">
        <v>3626.06</v>
      </c>
      <c r="J267" s="4">
        <v>3853.04</v>
      </c>
      <c r="K267" s="6">
        <f t="shared" ref="K267" si="1232">(B267-H267)</f>
        <v>-0.11163865699962305</v>
      </c>
    </row>
    <row r="268" spans="1:11" x14ac:dyDescent="0.2">
      <c r="A268" s="10">
        <v>45429</v>
      </c>
      <c r="B268" s="2">
        <f t="shared" ref="B268" si="1233">E268/F268</f>
        <v>0.83306595568428909</v>
      </c>
      <c r="C268" s="3">
        <v>0</v>
      </c>
      <c r="D268" s="3">
        <v>0</v>
      </c>
      <c r="E268" s="3">
        <v>54470.58</v>
      </c>
      <c r="F268" s="4">
        <f t="shared" ref="F268" si="1234">F267+G268</f>
        <v>65385.675201739934</v>
      </c>
      <c r="G268" s="3">
        <f t="shared" ref="G268" si="1235">(C268-D268)/((E268-C268+D268)/F267)</f>
        <v>0</v>
      </c>
      <c r="H268" s="5">
        <f t="shared" ref="H268" si="1236">I268/J268</f>
        <v>0.95456315013599646</v>
      </c>
      <c r="I268" s="4">
        <v>3677.97</v>
      </c>
      <c r="J268" s="4">
        <v>3853.04</v>
      </c>
      <c r="K268" s="6">
        <f t="shared" ref="K268" si="1237">(B268-H268)</f>
        <v>-0.12149719445170737</v>
      </c>
    </row>
    <row r="269" spans="1:11" x14ac:dyDescent="0.2">
      <c r="A269" s="10">
        <v>45436</v>
      </c>
      <c r="B269" s="2">
        <f t="shared" ref="B269" si="1238">E269/F269</f>
        <v>0.80925034171080878</v>
      </c>
      <c r="C269" s="3">
        <v>0</v>
      </c>
      <c r="D269" s="3">
        <v>0</v>
      </c>
      <c r="E269" s="3">
        <v>52913.38</v>
      </c>
      <c r="F269" s="4">
        <f t="shared" ref="F269" si="1239">F268+G269</f>
        <v>65385.675201739934</v>
      </c>
      <c r="G269" s="3">
        <f t="shared" ref="G269" si="1240">(C269-D269)/((E269-C269+D269)/F268)</f>
        <v>0</v>
      </c>
      <c r="H269" s="5">
        <f t="shared" ref="H269" si="1241">I269/J269</f>
        <v>0.93471129290118971</v>
      </c>
      <c r="I269" s="4">
        <v>3601.48</v>
      </c>
      <c r="J269" s="4">
        <v>3853.04</v>
      </c>
      <c r="K269" s="6">
        <f t="shared" ref="K269" si="1242">(B269-H269)</f>
        <v>-0.12546095119038092</v>
      </c>
    </row>
    <row r="270" spans="1:11" x14ac:dyDescent="0.2">
      <c r="A270" s="10">
        <v>45442</v>
      </c>
      <c r="B270" s="2">
        <f t="shared" ref="B270" si="1243">E270/F270</f>
        <v>0.80286820986446072</v>
      </c>
      <c r="C270" s="3">
        <v>0</v>
      </c>
      <c r="D270" s="3">
        <v>0</v>
      </c>
      <c r="E270" s="3">
        <v>52496.08</v>
      </c>
      <c r="F270" s="4">
        <f t="shared" ref="F270" si="1244">F269+G270</f>
        <v>65385.675201739934</v>
      </c>
      <c r="G270" s="3">
        <f t="shared" ref="G270" si="1245">(C270-D270)/((E270-C270+D270)/F269)</f>
        <v>0</v>
      </c>
      <c r="H270" s="5">
        <f t="shared" ref="H270" si="1246">I270/J270</f>
        <v>0.9328504245997965</v>
      </c>
      <c r="I270" s="4">
        <v>3594.31</v>
      </c>
      <c r="J270" s="4">
        <v>3853.04</v>
      </c>
      <c r="K270" s="6">
        <f t="shared" ref="K270" si="1247">(B270-H270)</f>
        <v>-0.12998221473533578</v>
      </c>
    </row>
    <row r="271" spans="1:11" x14ac:dyDescent="0.2">
      <c r="A271" s="10">
        <v>45443</v>
      </c>
      <c r="B271" s="2">
        <f t="shared" ref="B271" si="1248">E271/F271</f>
        <v>0.79813934533800279</v>
      </c>
      <c r="C271" s="3">
        <v>0</v>
      </c>
      <c r="D271" s="3">
        <v>0</v>
      </c>
      <c r="E271" s="3">
        <v>52186.879999999997</v>
      </c>
      <c r="F271" s="4">
        <f t="shared" ref="F271" si="1249">F270+G271</f>
        <v>65385.675201739934</v>
      </c>
      <c r="G271" s="3">
        <f t="shared" ref="G271" si="1250">(C271-D271)/((E271-C271+D271)/F270)</f>
        <v>0</v>
      </c>
      <c r="H271" s="5">
        <f t="shared" ref="H271" si="1251">I271/J271</f>
        <v>0.92911571123061276</v>
      </c>
      <c r="I271" s="4">
        <v>3579.92</v>
      </c>
      <c r="J271" s="4">
        <v>3853.04</v>
      </c>
      <c r="K271" s="6">
        <f t="shared" ref="K271" si="1252">(B271-H271)</f>
        <v>-0.13097636589260997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2024-05-31T13:17:15Z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